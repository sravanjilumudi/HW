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Symbol" sheetId="2" r:id="rId5"/>
    <sheet state="visible" name="DNP Parts" sheetId="3" r:id="rId6"/>
    <sheet state="visible" name="Mounting Holes" sheetId="4" r:id="rId7"/>
    <sheet state="visible" name="Power Supply" sheetId="5" r:id="rId8"/>
    <sheet state="visible" name="Power Simulation" sheetId="6" r:id="rId9"/>
    <sheet state="visible" name="Test Points" sheetId="7" r:id="rId10"/>
    <sheet state="visible" name="DRC" sheetId="8" r:id="rId11"/>
    <sheet state="visible" name="Impedance" sheetId="9" r:id="rId12"/>
    <sheet state="visible" name="USB,SPI and I2C" sheetId="10" r:id="rId13"/>
    <sheet state="visible" name="SFP" sheetId="11" r:id="rId14"/>
    <sheet state="visible" name="Level Translators, Reset, LED" sheetId="12" r:id="rId15"/>
    <sheet state="visible" name="Display, Trigger" sheetId="13" r:id="rId16"/>
    <sheet state="visible" name="FPGA" sheetId="14" r:id="rId17"/>
    <sheet state="visible" name=" General Points" sheetId="15" r:id="rId18"/>
    <sheet state="visible" name="PCIe Connector" sheetId="16" r:id="rId19"/>
    <sheet state="visible" name="Addon_Sheet1" sheetId="17" r:id="rId20"/>
    <sheet state="visible" name="Addon_Sheet2" sheetId="18" r:id="rId21"/>
    <sheet state="visible" name="Addon_Sheet3" sheetId="19" r:id="rId22"/>
    <sheet state="visible" name="Annexure-I" sheetId="20" r:id="rId23"/>
    <sheet state="visible" name="Annexure-II" sheetId="21" r:id="rId24"/>
    <sheet state="visible" name="Annexure-III" sheetId="22" r:id="rId25"/>
    <sheet state="visible" name="Annexure-IV" sheetId="23" r:id="rId26"/>
  </sheets>
  <definedNames>
    <definedName hidden="1" localSheetId="2" name="_xlnm._FilterDatabase">'DNP Parts'!$A$2:$E$220</definedName>
    <definedName hidden="1" localSheetId="4" name="_xlnm._FilterDatabase">'Power Supply'!$A$2:$E$232</definedName>
    <definedName hidden="1" localSheetId="5" name="_xlnm._FilterDatabase">'Power Simulation'!$A$2:$E$220</definedName>
    <definedName hidden="1" localSheetId="6" name="_xlnm._FilterDatabase">'Test Points'!$A$2:$E$220</definedName>
    <definedName hidden="1" localSheetId="7" name="_xlnm._FilterDatabase">DRC!$A$2:$E$220</definedName>
    <definedName hidden="1" localSheetId="8" name="_xlnm._FilterDatabase">Impedance!$A$2:$E$220</definedName>
    <definedName hidden="1" localSheetId="9" name="_xlnm._FilterDatabase">'USB,SPI and I2C'!$A$2:$E$263</definedName>
    <definedName hidden="1" localSheetId="10" name="_xlnm._FilterDatabase">SFP!$A$2:$E$220</definedName>
    <definedName hidden="1" localSheetId="11" name="_xlnm._FilterDatabase">'Level Translators, Reset, LED'!$A$2:$E$225</definedName>
    <definedName hidden="1" localSheetId="12" name="_xlnm._FilterDatabase">'Display, Trigger'!$A$2:$E$220</definedName>
    <definedName hidden="1" localSheetId="13" name="_xlnm._FilterDatabase">FPGA!$A$2:$E$223</definedName>
    <definedName hidden="1" localSheetId="14" name="_xlnm._FilterDatabase">' General Points'!$A$2:$E$228</definedName>
    <definedName hidden="1" localSheetId="16" name="_xlnm._FilterDatabase">Addon_Sheet1!$A$2:$E$238</definedName>
    <definedName hidden="1" localSheetId="17" name="_xlnm._FilterDatabase">Addon_Sheet2!$A$2:$E$243</definedName>
    <definedName hidden="1" localSheetId="18" name="_xlnm._FilterDatabase">Addon_Sheet3!$A$2:$E$230</definedName>
    <definedName hidden="1" localSheetId="21" name="_xlnm._FilterDatabase">'Annexure-III'!$A$2:$G$399</definedName>
    <definedName hidden="1" localSheetId="22" name="_xlnm._FilterDatabase">'Annexure-IV'!$A$2:$G$999</definedName>
  </definedNames>
  <calcPr/>
</workbook>
</file>

<file path=xl/sharedStrings.xml><?xml version="1.0" encoding="utf-8"?>
<sst xmlns="http://schemas.openxmlformats.org/spreadsheetml/2006/main" count="632" uniqueCount="171">
  <si>
    <t>HW_Review_Check_list</t>
  </si>
  <si>
    <t>Next Page</t>
  </si>
  <si>
    <t>Sl. No.</t>
  </si>
  <si>
    <t>Review Section</t>
  </si>
  <si>
    <t>Details</t>
  </si>
  <si>
    <t>Reviewer</t>
  </si>
  <si>
    <t>Timeline</t>
  </si>
  <si>
    <t>Status</t>
  </si>
  <si>
    <t>Remarks</t>
  </si>
  <si>
    <t>Overall Review Status</t>
  </si>
  <si>
    <t>Schematic Symbol Review</t>
  </si>
  <si>
    <t>All Symbols used in the  Lattice_PTP to be review including Title Block,Paper size,Block Diagrams,Page Number,Revision History and Version Number</t>
  </si>
  <si>
    <t>Completed</t>
  </si>
  <si>
    <t>Do Not Populate (DNP) parts check</t>
  </si>
  <si>
    <t>Verify all DNP parts in the schematic:
Check any 'to be populated' part marked as DNP,
Check any 'do not populate' part not marked as DNP</t>
  </si>
  <si>
    <t>Pending</t>
  </si>
  <si>
    <t>Mounting Hole Check</t>
  </si>
  <si>
    <t>Check sufficient number of mounting holes are provided as per requirement
Verify all Mounting hole nets are connected to GND</t>
  </si>
  <si>
    <t>Review Status in %</t>
  </si>
  <si>
    <t>Power Supply Section</t>
  </si>
  <si>
    <t>Verify all Power supply modules as per current requirement, DC - DC converters, LDOs, Inductor values and its current rating, Input and output capacitors, Switching Frequency, Power Sequencing etc</t>
  </si>
  <si>
    <t>Power Simulation</t>
  </si>
  <si>
    <t>All possible power modules to be simulated as per requirement</t>
  </si>
  <si>
    <t>Annexures</t>
  </si>
  <si>
    <t>Content</t>
  </si>
  <si>
    <t>Test Points</t>
  </si>
  <si>
    <t>Verify all connected Test points, any aditional test points are required</t>
  </si>
  <si>
    <t>Annexure-I</t>
  </si>
  <si>
    <t>List of Test Points</t>
  </si>
  <si>
    <t>DRC Report</t>
  </si>
  <si>
    <t>Verify DRC for floating nets, possible shorts, Globals all power nets etc</t>
  </si>
  <si>
    <t>Annexure-II</t>
  </si>
  <si>
    <t>Impedance Report</t>
  </si>
  <si>
    <t>Impedance and length matching list for critical nets</t>
  </si>
  <si>
    <t>Annexure-III</t>
  </si>
  <si>
    <t>Impedance and Length Matching Details</t>
  </si>
  <si>
    <t>Level Translators, Reset, LED Circuits</t>
  </si>
  <si>
    <t>Verify all level translators, its voltage convertions, Directions, enable, net names etc, Reset generation, connection etc, LED current limiting Resistor value threshold voltage etc</t>
  </si>
  <si>
    <t>Annexure-IV</t>
  </si>
  <si>
    <t>I2C Address details</t>
  </si>
  <si>
    <t>Display, Trigger Circuits</t>
  </si>
  <si>
    <t>Verify all Power and Ground connections, all net connetions</t>
  </si>
  <si>
    <t>USB,SPIand I2C interfaces</t>
  </si>
  <si>
    <t>Verify all USB connections, USB flash memory, I2C interface according to architecture, EEPROM terminations, all connections to FPGA, Booting method etc</t>
  </si>
  <si>
    <t>SFP interface</t>
  </si>
  <si>
    <t>Verify power supply and ground, Tx and Rx pairs connection, polarity etc</t>
  </si>
  <si>
    <t>FPGA Section</t>
  </si>
  <si>
    <t>Verify FPGA Section as per "xtp546-versal-schematic-review-checklist.xlsm"</t>
  </si>
  <si>
    <t>PCIe Connector</t>
  </si>
  <si>
    <t xml:space="preserve">Verify both Addin and RootPort connectors
Check Symbol, all connections, Power , Ground, Tx and Rx Pairs and its polarity, clock etc </t>
  </si>
  <si>
    <t>General Points</t>
  </si>
  <si>
    <t>Verify all general points mentioned as mentioned in the sheet</t>
  </si>
  <si>
    <t>Addon_Sheet1</t>
  </si>
  <si>
    <t>Addon_Sheet2</t>
  </si>
  <si>
    <t>Addon_Sheet3</t>
  </si>
  <si>
    <t>Symbol_Check_list</t>
  </si>
  <si>
    <t>S.No</t>
  </si>
  <si>
    <t>Recommendation</t>
  </si>
  <si>
    <t>Actual Implimentation</t>
  </si>
  <si>
    <t>Symbol Review Status</t>
  </si>
  <si>
    <t>Check all symbol pinouts against the datasheet, even if you have used the IC before or trust the symbol source.</t>
  </si>
  <si>
    <t>NA</t>
  </si>
  <si>
    <t>Done</t>
  </si>
  <si>
    <t>Thermal  Pads connection as per the data sheet</t>
  </si>
  <si>
    <t>In Progress</t>
  </si>
  <si>
    <t>Verify all polarized component symbols for polarity indication</t>
  </si>
  <si>
    <t>Foot Prints review as per the data sheet</t>
  </si>
  <si>
    <t>Issue Triggered</t>
  </si>
  <si>
    <t>Verify Footprints are assigned to all symbols</t>
  </si>
  <si>
    <t>Verify Voltage/Current/Power ratings, Tolarance are mentioned</t>
  </si>
  <si>
    <t>Toal Items</t>
  </si>
  <si>
    <t>Check that each symbol has a manufacturer and part number assigned.</t>
  </si>
  <si>
    <t>Overall Status</t>
  </si>
  <si>
    <t>Are all components active production, and not end of life / discontinued / not recommended for new designs at the time of the review?</t>
  </si>
  <si>
    <t>Does each component have sufficient stock in the supply chain?</t>
  </si>
  <si>
    <t>Previous Page</t>
  </si>
  <si>
    <t>Check for the correct polarity of each diode / LED / Polarized Capacitors</t>
  </si>
  <si>
    <t>Home</t>
  </si>
  <si>
    <t>Verify all the Pages in the schematic are same size</t>
  </si>
  <si>
    <t>Next</t>
  </si>
  <si>
    <t>Check the Index page added or not</t>
  </si>
  <si>
    <t>Verify the revision History added or not</t>
  </si>
  <si>
    <t>Verify all the page numbers and version on each sheet</t>
  </si>
  <si>
    <t>DNP_Check_list</t>
  </si>
  <si>
    <t>Verify all 'not to be plalced' components are marked as DNP</t>
  </si>
  <si>
    <t>Verify any 'to be placed' component marked as DNP</t>
  </si>
  <si>
    <t xml:space="preserve"> </t>
  </si>
  <si>
    <t>Mounting_Holes_Check_list</t>
  </si>
  <si>
    <t>Verify Sufficient Mounting holes are provided as per mechanical requirements</t>
  </si>
  <si>
    <t>Verify each mounting hole nets connection to GND</t>
  </si>
  <si>
    <t>Check Tantalum Capacitors voltage rating is at least 20% higher than the maximum expected voltage.</t>
  </si>
  <si>
    <t>Check there is a LED for each power rail. At least for the input.</t>
  </si>
  <si>
    <t>Check test points are provided for each power rail</t>
  </si>
  <si>
    <t>Check for the correct polarity of each diode or LED.</t>
  </si>
  <si>
    <t>Verify each resistor’s voltage rating sufficient for the maximum voltage applied</t>
  </si>
  <si>
    <t>Do multiple voltage rails need sequencing? Is it implemented?</t>
  </si>
  <si>
    <t>Verify Soft Start of all the power rail has sufficient time margine</t>
  </si>
  <si>
    <t>Verify any subsystems requires isolated supplies?</t>
  </si>
  <si>
    <t>Should any subsystems have separately regulated supplies?</t>
  </si>
  <si>
    <t>Does each voltage regulator’s output meet the precision requirements for the section connected to it?</t>
  </si>
  <si>
    <t>Is the total capacitance connected to each regulator within its ability to supply?</t>
  </si>
  <si>
    <t>Is there sufficient input capacitance on each regulator to prevent reverse supply under changing loads?</t>
  </si>
  <si>
    <t>Are any input voltages to regulators able to drop below the regulator’s minimum operating voltage?</t>
  </si>
  <si>
    <t>Are any input voltages to regulators able to exceed the regulators maximum voltage?</t>
  </si>
  <si>
    <t>Verify there are linear regulator between any devices that need extremely clean power and a switched mode regulator source</t>
  </si>
  <si>
    <t>Does the input power require a fuse to protect upstream devices? If yes, is it provided ?</t>
  </si>
  <si>
    <t>Is the input power of Board protected against reverse polarity?</t>
  </si>
  <si>
    <t>Is there over voltage protection on the power input?</t>
  </si>
  <si>
    <t>Is there over current protection on the power input?</t>
  </si>
  <si>
    <t>Is there input undervoltage protection?</t>
  </si>
  <si>
    <t>Is there short circuit protection on each voltage rail that has an external connection/output?</t>
  </si>
  <si>
    <t>Does every switching regulator have a sufficient input filter to prevent conducted EMI escaping on it’s input?</t>
  </si>
  <si>
    <t>Are MOSFETs protected against voltage transients with external diodes?</t>
  </si>
  <si>
    <t>Verify the Resistor Divider for each Power modules</t>
  </si>
  <si>
    <t>Verify all Power Sequencing are correct as per FPGA requirement</t>
  </si>
  <si>
    <t xml:space="preserve">Check the inductor current rating according to the Power diagram </t>
  </si>
  <si>
    <t>Verify each power module input voltage according to Power diagram</t>
  </si>
  <si>
    <t>Verify the Resistor Divider for each Power rail  at input of sequencer</t>
  </si>
  <si>
    <t>Verify each switched mode voltage regulator has been simulated to ensure it is stable across all load conditions</t>
  </si>
  <si>
    <t>Verify each switched mode voltage regulator has been simulated to ensure it can supply the required current</t>
  </si>
  <si>
    <t>Verify each switched mode voltage regulator has been simulated to ensure it can provide the required voltage under all load conditions</t>
  </si>
  <si>
    <t xml:space="preserve">Verify the power distribution network has been analysed for total load. </t>
  </si>
  <si>
    <t>Verify each switching regulator's Phase margine and Gain margines are meeting (Phase Margin=&lt;45 and Gain Margin=&lt; 10db)</t>
  </si>
  <si>
    <t>Verify all power module's Output ripple voltage is well within the application requirement</t>
  </si>
  <si>
    <t>Verify all power module's Efficiency (and Heat dessipation) to estimate the power loss on board</t>
  </si>
  <si>
    <t>Verify each power module's output voltage reaches 90% of desired voltage within the Ramp up time of the loads connected to it.</t>
  </si>
  <si>
    <t>Verify Test points are provided to all Power rails</t>
  </si>
  <si>
    <t>Verify test points are provided for critical signals/signals of interest</t>
  </si>
  <si>
    <t>Verify Test point names are appropriate</t>
  </si>
  <si>
    <t>Verify few test points are provided to GND for probing/measurement reference</t>
  </si>
  <si>
    <t>Verify all the Test points list at Annexure-I</t>
  </si>
  <si>
    <t>1. Check for on- and off-page connections, using the tool's DRC.</t>
  </si>
  <si>
    <t>2. Check for same net on different pages without on/off page, using DRC.</t>
  </si>
  <si>
    <t>Check unconnected signal nets</t>
  </si>
  <si>
    <t>Check all Globals</t>
  </si>
  <si>
    <t>Verify critical warning in DRC</t>
  </si>
  <si>
    <t>Refer the DRC report at Annexure-II</t>
  </si>
  <si>
    <t>Previous</t>
  </si>
  <si>
    <t>Refer Annexure-III for signals considered for Impedance matching</t>
  </si>
  <si>
    <t>Check all used TX pairs are connected with series 0.22uF Capacitors</t>
  </si>
  <si>
    <t>Check Part number of 0.22uF should be 0201 package</t>
  </si>
  <si>
    <t>Check all TX pairs polarity connected properly</t>
  </si>
  <si>
    <t>Check all used RX pairs are conected with series 0.22uF Capacitors</t>
  </si>
  <si>
    <t>Check all unused TX and RX pairs termination according to Gen6 spec</t>
  </si>
  <si>
    <t>Check all RX pairs polarity connected properly</t>
  </si>
  <si>
    <t>Check all PCIe power pins are connected</t>
  </si>
  <si>
    <t>Check all ground pins are connected</t>
  </si>
  <si>
    <t>Check all RSVD and PRSNT pins are terminated properly</t>
  </si>
  <si>
    <t>Verify TX and RX pins are not reversed.</t>
  </si>
  <si>
    <t>Check 3.3V_AUX should not club with 3.3V on connectors</t>
  </si>
  <si>
    <t>Annexure-I  List of Test Points</t>
  </si>
  <si>
    <t>Test Point Name</t>
  </si>
  <si>
    <t>Reference Node for the Test Point</t>
  </si>
  <si>
    <t>Test Point purpose</t>
  </si>
  <si>
    <t>`</t>
  </si>
  <si>
    <t>Annexure-II  DRC Report</t>
  </si>
  <si>
    <t>DRC Point</t>
  </si>
  <si>
    <t>DRC Type</t>
  </si>
  <si>
    <t>Action Point</t>
  </si>
  <si>
    <t>Annexure-III  Impedance and Length Matching Report (Impedance Requirement)</t>
  </si>
  <si>
    <t>Signal Name</t>
  </si>
  <si>
    <t>Interface</t>
  </si>
  <si>
    <t>Signal Type</t>
  </si>
  <si>
    <t>Impedance (Ohm)</t>
  </si>
  <si>
    <t>Jump to Length Matching Report</t>
  </si>
  <si>
    <t>Annexure-IV  I2C Device Address list</t>
  </si>
  <si>
    <t>Ref Des</t>
  </si>
  <si>
    <t>Interface Type</t>
  </si>
  <si>
    <t>Part Number</t>
  </si>
  <si>
    <t>Address</t>
  </si>
  <si>
    <t>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</si>
</sst>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4009]dd\ mmmm\ yyyy"/>
  </numFmts>
  <fonts count="40">
    <font>
      <sz val="10.0"/>
      <color rgb="FF000000"/>
      <name val="Arial"/>
      <scheme val="minor"/>
    </font>
    <font>
      <b/>
      <u/>
      <sz val="12.0"/>
      <color theme="1"/>
      <name val="Calibri"/>
    </font>
    <font/>
    <font>
      <sz val="12.0"/>
      <color theme="1"/>
      <name val="Calibri"/>
    </font>
    <font>
      <sz val="11.0"/>
      <color theme="0"/>
      <name val="Calibri"/>
    </font>
    <font>
      <sz val="12.0"/>
      <color rgb="FF000000"/>
      <name val="Calibri"/>
    </font>
    <font>
      <b/>
      <u/>
      <sz val="12.0"/>
      <color rgb="FF1155CC"/>
      <name val="Calibri"/>
    </font>
    <font>
      <b/>
      <sz val="12.0"/>
      <color theme="1"/>
      <name val="Calibri"/>
    </font>
    <font>
      <u/>
      <sz val="12.0"/>
      <color theme="10"/>
      <name val="Calibri"/>
    </font>
    <font>
      <b/>
      <sz val="12.0"/>
      <color rgb="FF00000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color theme="1"/>
      <name val="Calibri"/>
    </font>
    <font>
      <sz val="10.0"/>
      <color theme="1"/>
      <name val="Calibri"/>
    </font>
    <font>
      <b/>
      <sz val="10.0"/>
      <color rgb="FFEA4335"/>
      <name val="Calibri"/>
    </font>
    <font>
      <b/>
      <sz val="10.0"/>
      <color theme="1"/>
      <name val="Calibri"/>
    </font>
    <font>
      <sz val="10.0"/>
      <color rgb="FF000000"/>
      <name val="Arial"/>
    </font>
    <font>
      <b/>
      <sz val="11.0"/>
      <color rgb="FFFFFFFF"/>
      <name val="Calibri"/>
    </font>
    <font>
      <b/>
      <sz val="11.0"/>
      <color theme="0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sz val="14.0"/>
      <color theme="1"/>
      <name val="Calibri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>
      <u/>
      <sz val="10.0"/>
      <color theme="10"/>
      <name val="Arial"/>
    </font>
    <font>
      <u/>
      <color rgb="FF1155CC"/>
      <name val="Arial"/>
    </font>
    <font>
      <b/>
      <u/>
      <sz val="11.0"/>
      <color theme="0"/>
      <name val="Arial"/>
    </font>
    <font>
      <b/>
      <u/>
      <sz val="11.0"/>
      <color theme="0"/>
      <name val="Arial"/>
    </font>
    <font>
      <u/>
      <sz val="10.0"/>
      <color rgb="FF0000FF"/>
      <name val="Arial"/>
    </font>
    <font>
      <b/>
      <sz val="10.0"/>
      <color rgb="FF00FF00"/>
      <name val="Calibri"/>
    </font>
    <font>
      <b/>
      <u/>
      <sz val="12.0"/>
      <color rgb="FF1155CC"/>
      <name val="Calibri"/>
    </font>
    <font>
      <sz val="11.0"/>
      <color rgb="FF000000"/>
      <name val="Calibri"/>
    </font>
    <font>
      <b/>
      <u/>
      <sz val="10.0"/>
      <color rgb="FF1155CC"/>
      <name val="Arial"/>
    </font>
    <font>
      <u/>
      <sz val="10.0"/>
      <color theme="10"/>
      <name val="Arial"/>
    </font>
    <font>
      <color theme="1"/>
      <name val="Arial"/>
      <scheme val="minor"/>
    </font>
    <font>
      <b/>
      <u/>
      <sz val="11.0"/>
      <color rgb="FF1155CC"/>
      <name val="Arial"/>
    </font>
    <font>
      <u/>
      <sz val="10.0"/>
      <color rgb="FF0000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FCD668"/>
        <bgColor rgb="FFFCD66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38761D"/>
        <bgColor rgb="FF38761D"/>
      </patternFill>
    </fill>
    <fill>
      <patternFill patternType="solid">
        <fgColor theme="8"/>
        <bgColor theme="8"/>
      </patternFill>
    </fill>
    <fill>
      <patternFill patternType="solid">
        <fgColor rgb="FFF28E85"/>
        <bgColor rgb="FFF28E85"/>
      </patternFill>
    </fill>
    <fill>
      <patternFill patternType="solid">
        <fgColor rgb="FF00B0F0"/>
        <bgColor rgb="FF00B0F0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0" fillId="0" fontId="5" numFmtId="0" xfId="0" applyAlignment="1" applyFont="1">
      <alignment horizontal="center" vertical="center"/>
    </xf>
    <xf borderId="6" fillId="4" fontId="6" numFmtId="0" xfId="0" applyAlignment="1" applyBorder="1" applyFill="1" applyFont="1">
      <alignment horizontal="center" readingOrder="0" vertical="top"/>
    </xf>
    <xf borderId="6" fillId="4" fontId="7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vertical="center"/>
    </xf>
    <xf borderId="6" fillId="4" fontId="7" numFmtId="164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0" fontId="2" numFmtId="0" xfId="0" applyBorder="1" applyFont="1"/>
    <xf borderId="6" fillId="0" fontId="5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center" readingOrder="0" vertical="center"/>
    </xf>
    <xf borderId="6" fillId="0" fontId="5" numFmtId="164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horizontal="center"/>
    </xf>
    <xf borderId="9" fillId="0" fontId="5" numFmtId="164" xfId="0" applyAlignment="1" applyBorder="1" applyFont="1" applyNumberFormat="1">
      <alignment horizontal="center" readingOrder="0" vertical="center"/>
    </xf>
    <xf borderId="6" fillId="0" fontId="5" numFmtId="0" xfId="0" applyAlignment="1" applyBorder="1" applyFont="1">
      <alignment horizontal="left" shrinkToFit="0" vertical="center" wrapText="1"/>
    </xf>
    <xf borderId="9" fillId="0" fontId="3" numFmtId="2" xfId="0" applyAlignment="1" applyBorder="1" applyFont="1" applyNumberFormat="1">
      <alignment horizontal="center"/>
    </xf>
    <xf borderId="9" fillId="5" fontId="7" numFmtId="0" xfId="0" applyAlignment="1" applyBorder="1" applyFill="1" applyFont="1">
      <alignment horizontal="center" readingOrder="0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left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left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6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5" numFmtId="164" xfId="0" applyAlignment="1" applyFont="1" applyNumberFormat="1">
      <alignment horizontal="center" vertical="center"/>
    </xf>
    <xf borderId="0" fillId="0" fontId="13" numFmtId="0" xfId="0" applyFont="1"/>
    <xf borderId="6" fillId="4" fontId="7" numFmtId="0" xfId="0" applyAlignment="1" applyBorder="1" applyFont="1">
      <alignment horizontal="center" readingOrder="0"/>
    </xf>
    <xf borderId="6" fillId="4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6" fillId="0" fontId="14" numFmtId="0" xfId="0" applyAlignment="1" applyBorder="1" applyFont="1">
      <alignment horizontal="right" vertical="top"/>
    </xf>
    <xf borderId="6" fillId="0" fontId="14" numFmtId="0" xfId="0" applyAlignment="1" applyBorder="1" applyFont="1">
      <alignment shrinkToFit="0" vertical="center" wrapText="1"/>
    </xf>
    <xf borderId="6" fillId="0" fontId="15" numFmtId="0" xfId="0" applyAlignment="1" applyBorder="1" applyFont="1">
      <alignment horizontal="center" readingOrder="0" vertical="center"/>
    </xf>
    <xf borderId="6" fillId="0" fontId="14" numFmtId="0" xfId="0" applyBorder="1" applyFont="1"/>
    <xf borderId="6" fillId="0" fontId="14" numFmtId="0" xfId="0" applyAlignment="1" applyBorder="1" applyFont="1">
      <alignment horizontal="center"/>
    </xf>
    <xf borderId="6" fillId="0" fontId="14" numFmtId="0" xfId="0" applyAlignment="1" applyBorder="1" applyFont="1">
      <alignment horizontal="right" readingOrder="0" vertical="top"/>
    </xf>
    <xf borderId="6" fillId="0" fontId="14" numFmtId="0" xfId="0" applyAlignment="1" applyBorder="1" applyFont="1">
      <alignment readingOrder="0" shrinkToFit="0" vertical="center" wrapText="1"/>
    </xf>
    <xf borderId="6" fillId="6" fontId="16" numFmtId="0" xfId="0" applyAlignment="1" applyBorder="1" applyFill="1" applyFont="1">
      <alignment horizontal="center" readingOrder="0"/>
    </xf>
    <xf borderId="6" fillId="7" fontId="16" numFmtId="0" xfId="0" applyAlignment="1" applyBorder="1" applyFill="1" applyFont="1">
      <alignment horizontal="center" readingOrder="0"/>
    </xf>
    <xf borderId="6" fillId="6" fontId="15" numFmtId="0" xfId="0" applyAlignment="1" applyBorder="1" applyFont="1">
      <alignment horizontal="center" readingOrder="0" vertical="center"/>
    </xf>
    <xf borderId="6" fillId="8" fontId="16" numFmtId="0" xfId="0" applyAlignment="1" applyBorder="1" applyFill="1" applyFont="1">
      <alignment horizontal="center" readingOrder="0"/>
    </xf>
    <xf borderId="6" fillId="0" fontId="17" numFmtId="164" xfId="0" applyAlignment="1" applyBorder="1" applyFont="1" applyNumberFormat="1">
      <alignment horizontal="center" readingOrder="0" vertical="center"/>
    </xf>
    <xf borderId="6" fillId="9" fontId="16" numFmtId="0" xfId="0" applyAlignment="1" applyBorder="1" applyFill="1" applyFont="1">
      <alignment horizontal="center" readingOrder="0"/>
    </xf>
    <xf borderId="4" fillId="10" fontId="18" numFmtId="0" xfId="0" applyAlignment="1" applyBorder="1" applyFill="1" applyFont="1">
      <alignment horizontal="center" readingOrder="0" vertical="center"/>
    </xf>
    <xf borderId="4" fillId="11" fontId="19" numFmtId="0" xfId="0" applyAlignment="1" applyBorder="1" applyFill="1" applyFont="1">
      <alignment horizontal="center" vertical="center"/>
    </xf>
    <xf borderId="18" fillId="0" fontId="2" numFmtId="0" xfId="0" applyBorder="1" applyFont="1"/>
    <xf borderId="1" fillId="0" fontId="14" numFmtId="0" xfId="0" applyAlignment="1" applyBorder="1" applyFont="1">
      <alignment horizontal="center"/>
    </xf>
    <xf borderId="2" fillId="0" fontId="14" numFmtId="0" xfId="0" applyAlignment="1" applyBorder="1" applyFont="1">
      <alignment horizontal="center"/>
    </xf>
    <xf borderId="3" fillId="0" fontId="14" numFmtId="0" xfId="0" applyAlignment="1" applyBorder="1" applyFont="1">
      <alignment horizontal="center"/>
    </xf>
    <xf borderId="6" fillId="0" fontId="14" numFmtId="0" xfId="0" applyAlignment="1" applyBorder="1" applyFont="1">
      <alignment horizontal="center" vertical="top"/>
    </xf>
    <xf borderId="6" fillId="0" fontId="14" numFmtId="0" xfId="0" applyAlignment="1" applyBorder="1" applyFont="1">
      <alignment vertical="center"/>
    </xf>
    <xf borderId="0" fillId="0" fontId="20" numFmtId="0" xfId="0" applyAlignment="1" applyFont="1">
      <alignment shrinkToFit="0" vertical="center" wrapText="1"/>
    </xf>
    <xf borderId="6" fillId="0" fontId="21" numFmtId="0" xfId="0" applyAlignment="1" applyBorder="1" applyFont="1">
      <alignment shrinkToFit="0" vertical="center" wrapText="1"/>
    </xf>
    <xf borderId="6" fillId="0" fontId="14" numFmtId="0" xfId="0" applyAlignment="1" applyBorder="1" applyFont="1">
      <alignment horizontal="center" shrinkToFit="0" vertical="top" wrapText="1"/>
    </xf>
    <xf borderId="0" fillId="0" fontId="22" numFmtId="0" xfId="0" applyAlignment="1" applyFont="1">
      <alignment vertical="top"/>
    </xf>
    <xf borderId="0" fillId="0" fontId="22" numFmtId="0" xfId="0" applyAlignment="1" applyFont="1">
      <alignment vertical="center"/>
    </xf>
    <xf borderId="0" fillId="0" fontId="23" numFmtId="0" xfId="0" applyFont="1"/>
    <xf borderId="6" fillId="0" fontId="22" numFmtId="164" xfId="0" applyAlignment="1" applyBorder="1" applyFont="1" applyNumberFormat="1">
      <alignment horizontal="center" readingOrder="0" vertical="center"/>
    </xf>
    <xf borderId="4" fillId="10" fontId="19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0" fillId="0" fontId="14" numFmtId="0" xfId="0" applyFont="1"/>
    <xf borderId="6" fillId="0" fontId="14" numFmtId="0" xfId="0" applyAlignment="1" applyBorder="1" applyFont="1">
      <alignment horizontal="right" shrinkToFit="0" vertical="top" wrapText="1"/>
    </xf>
    <xf borderId="0" fillId="0" fontId="22" numFmtId="0" xfId="0" applyAlignment="1" applyFont="1">
      <alignment horizontal="right" vertical="top"/>
    </xf>
    <xf borderId="0" fillId="0" fontId="24" numFmtId="0" xfId="0" applyFont="1"/>
    <xf borderId="6" fillId="0" fontId="25" numFmtId="0" xfId="0" applyAlignment="1" applyBorder="1" applyFont="1">
      <alignment shrinkToFit="0" vertical="center" wrapText="1"/>
    </xf>
    <xf borderId="0" fillId="0" fontId="25" numFmtId="0" xfId="0" applyFont="1"/>
    <xf borderId="6" fillId="0" fontId="14" numFmtId="0" xfId="0" applyAlignment="1" applyBorder="1" applyFont="1">
      <alignment shrinkToFit="0" vertical="center" wrapText="1"/>
    </xf>
    <xf borderId="0" fillId="0" fontId="26" numFmtId="0" xfId="0" applyAlignment="1" applyFont="1">
      <alignment shrinkToFit="0" wrapText="1"/>
    </xf>
    <xf borderId="6" fillId="0" fontId="26" numFmtId="0" xfId="0" applyAlignment="1" applyBorder="1" applyFont="1">
      <alignment shrinkToFit="0" wrapText="1"/>
    </xf>
    <xf borderId="6" fillId="0" fontId="26" numFmtId="0" xfId="0" applyAlignment="1" applyBorder="1" applyFont="1">
      <alignment shrinkToFit="0" wrapText="1"/>
    </xf>
    <xf borderId="6" fillId="0" fontId="27" numFmtId="0" xfId="0" applyAlignment="1" applyBorder="1" applyFont="1">
      <alignment shrinkToFit="0" vertical="center" wrapText="1"/>
    </xf>
    <xf borderId="6" fillId="0" fontId="28" numFmtId="0" xfId="0" applyAlignment="1" applyBorder="1" applyFont="1">
      <alignment shrinkToFit="0" wrapText="1"/>
    </xf>
    <xf borderId="4" fillId="3" fontId="29" numFmtId="0" xfId="0" applyAlignment="1" applyBorder="1" applyFont="1">
      <alignment horizontal="center" vertical="center"/>
    </xf>
    <xf borderId="4" fillId="11" fontId="30" numFmtId="0" xfId="0" applyAlignment="1" applyBorder="1" applyFont="1">
      <alignment horizontal="center" vertical="center"/>
    </xf>
    <xf borderId="19" fillId="0" fontId="22" numFmtId="164" xfId="0" applyAlignment="1" applyBorder="1" applyFont="1" applyNumberFormat="1">
      <alignment horizontal="center" readingOrder="0" vertical="center"/>
    </xf>
    <xf borderId="19" fillId="9" fontId="16" numFmtId="0" xfId="0" applyAlignment="1" applyBorder="1" applyFont="1">
      <alignment horizontal="center" readingOrder="0"/>
    </xf>
    <xf borderId="6" fillId="0" fontId="25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horizontal="center" readingOrder="0"/>
    </xf>
    <xf borderId="6" fillId="7" fontId="25" numFmtId="0" xfId="0" applyAlignment="1" applyBorder="1" applyFont="1">
      <alignment shrinkToFit="0" vertical="center" wrapText="1"/>
    </xf>
    <xf borderId="6" fillId="0" fontId="14" numFmtId="0" xfId="0" applyAlignment="1" applyBorder="1" applyFont="1">
      <alignment horizontal="center" readingOrder="0" vertical="top"/>
    </xf>
    <xf borderId="0" fillId="0" fontId="17" numFmtId="0" xfId="0" applyAlignment="1" applyFont="1">
      <alignment shrinkToFit="0" wrapText="1"/>
    </xf>
    <xf borderId="0" fillId="0" fontId="24" numFmtId="0" xfId="0" applyAlignment="1" applyFont="1">
      <alignment shrinkToFit="0" wrapText="1"/>
    </xf>
    <xf borderId="6" fillId="0" fontId="25" numFmtId="0" xfId="0" applyAlignment="1" applyBorder="1" applyFont="1">
      <alignment horizontal="right" vertical="top"/>
    </xf>
    <xf borderId="6" fillId="0" fontId="25" numFmtId="0" xfId="0" applyBorder="1" applyFont="1"/>
    <xf borderId="6" fillId="0" fontId="17" numFmtId="0" xfId="0" applyAlignment="1" applyBorder="1" applyFont="1">
      <alignment shrinkToFit="0" vertical="center" wrapText="1"/>
    </xf>
    <xf borderId="6" fillId="0" fontId="25" numFmtId="0" xfId="0" applyAlignment="1" applyBorder="1" applyFont="1">
      <alignment readingOrder="0"/>
    </xf>
    <xf borderId="6" fillId="0" fontId="25" numFmtId="0" xfId="0" applyAlignment="1" applyBorder="1" applyFont="1">
      <alignment horizontal="right"/>
    </xf>
    <xf borderId="6" fillId="0" fontId="31" numFmtId="0" xfId="0" applyAlignment="1" applyBorder="1" applyFont="1">
      <alignment shrinkToFit="0" vertical="center" wrapText="1"/>
    </xf>
    <xf borderId="6" fillId="0" fontId="25" numFmtId="0" xfId="0" applyAlignment="1" applyBorder="1" applyFont="1">
      <alignment horizontal="center"/>
    </xf>
    <xf borderId="6" fillId="0" fontId="25" numFmtId="0" xfId="0" applyAlignment="1" applyBorder="1" applyFont="1">
      <alignment horizontal="center" shrinkToFit="0" vertical="center" wrapText="1"/>
    </xf>
    <xf borderId="6" fillId="0" fontId="25" numFmtId="0" xfId="0" applyAlignment="1" applyBorder="1" applyFont="1">
      <alignment horizontal="center" vertical="center"/>
    </xf>
    <xf borderId="6" fillId="0" fontId="17" numFmtId="0" xfId="0" applyBorder="1" applyFont="1"/>
    <xf borderId="6" fillId="0" fontId="32" numFmtId="0" xfId="0" applyAlignment="1" applyBorder="1" applyFont="1">
      <alignment horizontal="center" readingOrder="0" vertical="center"/>
    </xf>
    <xf borderId="0" fillId="0" fontId="17" numFmtId="0" xfId="0" applyFont="1"/>
    <xf borderId="0" fillId="0" fontId="17" numFmtId="0" xfId="0" applyAlignment="1" applyFont="1">
      <alignment shrinkToFit="0" vertical="center" wrapText="1"/>
    </xf>
    <xf borderId="0" fillId="0" fontId="15" numFmtId="0" xfId="0" applyAlignment="1" applyFont="1">
      <alignment horizontal="center" readingOrder="0" vertical="center"/>
    </xf>
    <xf borderId="6" fillId="4" fontId="33" numFmtId="0" xfId="0" applyAlignment="1" applyBorder="1" applyFont="1">
      <alignment horizontal="center" vertical="top"/>
    </xf>
    <xf borderId="3" fillId="4" fontId="7" numFmtId="0" xfId="0" applyAlignment="1" applyBorder="1" applyFont="1">
      <alignment horizontal="center" shrinkToFit="0" wrapText="1"/>
    </xf>
    <xf borderId="3" fillId="4" fontId="7" numFmtId="0" xfId="0" applyAlignment="1" applyBorder="1" applyFont="1">
      <alignment horizontal="center" vertical="bottom"/>
    </xf>
    <xf borderId="3" fillId="4" fontId="7" numFmtId="0" xfId="0" applyAlignment="1" applyBorder="1" applyFont="1">
      <alignment horizontal="center" readingOrder="0" vertical="bottom"/>
    </xf>
    <xf borderId="6" fillId="0" fontId="25" numFmtId="0" xfId="0" applyAlignment="1" applyBorder="1" applyFont="1">
      <alignment vertical="center"/>
    </xf>
    <xf borderId="20" fillId="7" fontId="34" numFmtId="0" xfId="0" applyAlignment="1" applyBorder="1" applyFont="1">
      <alignment horizontal="center" vertical="center"/>
    </xf>
    <xf borderId="6" fillId="7" fontId="34" numFmtId="0" xfId="0" applyAlignment="1" applyBorder="1" applyFont="1">
      <alignment horizontal="center" vertical="center"/>
    </xf>
    <xf borderId="21" fillId="7" fontId="34" numFmtId="0" xfId="0" applyAlignment="1" applyBorder="1" applyFont="1">
      <alignment horizontal="center" vertical="center"/>
    </xf>
    <xf borderId="6" fillId="0" fontId="17" numFmtId="0" xfId="0" applyAlignment="1" applyBorder="1" applyFont="1">
      <alignment vertical="center"/>
    </xf>
    <xf borderId="4" fillId="12" fontId="35" numFmtId="0" xfId="0" applyAlignment="1" applyBorder="1" applyFill="1" applyFont="1">
      <alignment horizontal="center" readingOrder="0"/>
    </xf>
    <xf borderId="0" fillId="0" fontId="36" numFmtId="0" xfId="0" applyFont="1"/>
    <xf borderId="22" fillId="7" fontId="34" numFmtId="0" xfId="0" applyAlignment="1" applyBorder="1" applyFont="1">
      <alignment horizontal="center" vertical="center"/>
    </xf>
    <xf borderId="6" fillId="0" fontId="25" numFmtId="0" xfId="0" applyAlignment="1" applyBorder="1" applyFont="1">
      <alignment horizontal="right" shrinkToFit="0" vertical="top" wrapText="1"/>
    </xf>
    <xf borderId="23" fillId="7" fontId="34" numFmtId="0" xfId="0" applyAlignment="1" applyBorder="1" applyFont="1">
      <alignment horizontal="center" vertical="center"/>
    </xf>
    <xf borderId="19" fillId="0" fontId="34" numFmtId="0" xfId="0" applyAlignment="1" applyBorder="1" applyFont="1">
      <alignment horizontal="center" vertical="center"/>
    </xf>
    <xf borderId="24" fillId="7" fontId="34" numFmtId="0" xfId="0" applyAlignment="1" applyBorder="1" applyFont="1">
      <alignment horizontal="center" vertical="center"/>
    </xf>
    <xf borderId="25" fillId="0" fontId="34" numFmtId="0" xfId="0" applyAlignment="1" applyBorder="1" applyFont="1">
      <alignment horizontal="center" vertical="center"/>
    </xf>
    <xf borderId="6" fillId="7" fontId="34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6" numFmtId="0" xfId="0" applyAlignment="1" applyFont="1">
      <alignment vertical="bottom"/>
    </xf>
    <xf borderId="26" fillId="0" fontId="26" numFmtId="0" xfId="0" applyAlignment="1" applyBorder="1" applyFont="1">
      <alignment vertical="bottom"/>
    </xf>
    <xf borderId="0" fillId="0" fontId="37" numFmtId="0" xfId="0" applyFont="1"/>
    <xf borderId="3" fillId="4" fontId="7" numFmtId="0" xfId="0" applyAlignment="1" applyBorder="1" applyFont="1">
      <alignment horizontal="center" readingOrder="0" shrinkToFit="0" wrapText="1"/>
    </xf>
    <xf borderId="6" fillId="0" fontId="17" numFmtId="0" xfId="0" applyAlignment="1" applyBorder="1" applyFont="1">
      <alignment horizontal="center"/>
    </xf>
    <xf borderId="4" fillId="13" fontId="38" numFmtId="0" xfId="0" applyAlignment="1" applyBorder="1" applyFill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" fillId="0" fontId="3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4">
    <dxf>
      <font>
        <color theme="1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theme="5"/>
      </font>
      <fill>
        <patternFill patternType="solid">
          <fgColor theme="0"/>
          <bgColor theme="0"/>
        </patternFill>
      </fill>
      <border/>
    </dxf>
    <dxf>
      <font>
        <color theme="1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DE49A"/>
          <bgColor rgb="FFFDE49A"/>
        </patternFill>
      </fill>
      <border/>
    </dxf>
    <dxf>
      <font/>
      <fill>
        <patternFill patternType="solid">
          <fgColor rgb="FFFFA766"/>
          <bgColor rgb="FFFFA76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EA4335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theme="0"/>
          <bgColor theme="0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5.0"/>
    <col customWidth="1" min="3" max="3" width="64.25"/>
    <col customWidth="1" min="4" max="4" width="11.88"/>
    <col customWidth="1" min="5" max="5" width="8.5"/>
    <col customWidth="1" min="6" max="6" width="12.5"/>
    <col customWidth="1" min="7" max="7" width="10.25"/>
    <col customWidth="1" min="8" max="8" width="7.63"/>
    <col customWidth="1" min="10" max="10" width="24.88"/>
    <col customWidth="1" min="14" max="14" width="7.63"/>
    <col customWidth="1" min="15" max="15" width="19.0"/>
    <col customWidth="1" min="16" max="16" width="21.88"/>
    <col customWidth="1" min="17" max="17" width="3.75"/>
    <col customWidth="1" min="18" max="18" width="16.38"/>
    <col customWidth="1" min="19" max="19" width="20.25"/>
    <col customWidth="1" min="20" max="26" width="7.63"/>
  </cols>
  <sheetData>
    <row r="1" ht="12.75" customHeight="1">
      <c r="A1" s="1" t="s">
        <v>0</v>
      </c>
      <c r="B1" s="2"/>
      <c r="C1" s="2"/>
      <c r="D1" s="2"/>
      <c r="E1" s="2"/>
      <c r="F1" s="2"/>
      <c r="G1" s="3"/>
      <c r="H1" s="4"/>
      <c r="I1" s="5" t="s">
        <v>1</v>
      </c>
      <c r="J1" s="6"/>
      <c r="K1" s="4"/>
      <c r="L1" s="4"/>
      <c r="M1" s="4"/>
      <c r="N1" s="4"/>
      <c r="O1" s="4"/>
      <c r="P1" s="4"/>
      <c r="Q1" s="4"/>
      <c r="R1" s="7"/>
      <c r="S1" s="7"/>
      <c r="T1" s="4"/>
      <c r="U1" s="4"/>
      <c r="V1" s="4"/>
      <c r="W1" s="4"/>
      <c r="X1" s="4"/>
      <c r="Y1" s="4"/>
      <c r="Z1" s="4"/>
    </row>
    <row r="2" ht="12.75" customHeight="1">
      <c r="A2" s="8" t="s">
        <v>2</v>
      </c>
      <c r="B2" s="9" t="s">
        <v>3</v>
      </c>
      <c r="C2" s="9" t="s">
        <v>4</v>
      </c>
      <c r="D2" s="10" t="s">
        <v>5</v>
      </c>
      <c r="E2" s="11" t="s">
        <v>6</v>
      </c>
      <c r="F2" s="10" t="s">
        <v>7</v>
      </c>
      <c r="G2" s="9" t="s">
        <v>8</v>
      </c>
      <c r="H2" s="4"/>
      <c r="I2" s="12" t="s">
        <v>9</v>
      </c>
      <c r="J2" s="13"/>
      <c r="K2" s="4"/>
      <c r="L2" s="4"/>
      <c r="M2" s="4"/>
      <c r="N2" s="4"/>
      <c r="O2" s="4"/>
      <c r="P2" s="4"/>
      <c r="Q2" s="4"/>
      <c r="R2" s="7"/>
      <c r="S2" s="7"/>
      <c r="T2" s="4"/>
      <c r="U2" s="4"/>
      <c r="V2" s="4"/>
      <c r="W2" s="4"/>
      <c r="X2" s="4"/>
      <c r="Y2" s="4"/>
      <c r="Z2" s="4"/>
    </row>
    <row r="3" ht="45.75" customHeight="1">
      <c r="A3" s="14">
        <v>1.0</v>
      </c>
      <c r="B3" s="15" t="s">
        <v>10</v>
      </c>
      <c r="C3" s="16" t="s">
        <v>11</v>
      </c>
      <c r="D3" s="17"/>
      <c r="E3" s="18" t="str">
        <f>Symbol!F9</f>
        <v/>
      </c>
      <c r="F3" s="18" t="str">
        <f>Symbol!G9</f>
        <v>Completed</v>
      </c>
      <c r="G3" s="16"/>
      <c r="H3" s="4"/>
      <c r="I3" s="19">
        <f>COUNTIF(F:F,"Completed")</f>
        <v>17</v>
      </c>
      <c r="J3" s="20" t="s">
        <v>12</v>
      </c>
      <c r="K3" s="4"/>
      <c r="L3" s="4"/>
      <c r="M3" s="4"/>
      <c r="N3" s="4"/>
      <c r="O3" s="4"/>
      <c r="P3" s="4"/>
      <c r="Q3" s="4"/>
      <c r="R3" s="7"/>
      <c r="S3" s="7"/>
      <c r="T3" s="4"/>
      <c r="U3" s="4"/>
      <c r="V3" s="4"/>
      <c r="W3" s="4"/>
      <c r="X3" s="4"/>
      <c r="Y3" s="4"/>
      <c r="Z3" s="4"/>
    </row>
    <row r="4" ht="48.0" customHeight="1">
      <c r="A4" s="17">
        <v>2.0</v>
      </c>
      <c r="B4" s="15" t="s">
        <v>13</v>
      </c>
      <c r="C4" s="21" t="s">
        <v>14</v>
      </c>
      <c r="D4" s="17"/>
      <c r="E4" s="18" t="str">
        <f>'DNP Parts'!F9</f>
        <v/>
      </c>
      <c r="F4" s="18" t="str">
        <f>'DNP Parts'!G9</f>
        <v>Pending</v>
      </c>
      <c r="G4" s="16"/>
      <c r="H4" s="4"/>
      <c r="I4" s="19">
        <f>COUNTIF(F:F,"Pending")</f>
        <v>1</v>
      </c>
      <c r="J4" s="20" t="s">
        <v>15</v>
      </c>
      <c r="K4" s="4"/>
      <c r="L4" s="4"/>
      <c r="M4" s="4"/>
      <c r="N4" s="4"/>
      <c r="O4" s="4"/>
      <c r="P4" s="4"/>
      <c r="Q4" s="4"/>
      <c r="R4" s="7"/>
      <c r="S4" s="7"/>
      <c r="T4" s="4"/>
      <c r="U4" s="4"/>
      <c r="V4" s="4"/>
      <c r="W4" s="4"/>
      <c r="X4" s="4"/>
      <c r="Y4" s="4"/>
      <c r="Z4" s="4"/>
    </row>
    <row r="5" ht="12.75" customHeight="1">
      <c r="A5" s="17">
        <v>3.0</v>
      </c>
      <c r="B5" s="15" t="s">
        <v>16</v>
      </c>
      <c r="C5" s="21" t="s">
        <v>17</v>
      </c>
      <c r="D5" s="17"/>
      <c r="E5" s="18" t="str">
        <f>'Mounting Holes'!F9</f>
        <v/>
      </c>
      <c r="F5" s="18" t="str">
        <f>'Mounting Holes'!G9</f>
        <v>Completed</v>
      </c>
      <c r="G5" s="21"/>
      <c r="H5" s="4"/>
      <c r="I5" s="22">
        <f>(I3/(I3+I4))*100</f>
        <v>94.44444444</v>
      </c>
      <c r="J5" s="23" t="s">
        <v>18</v>
      </c>
      <c r="K5" s="4"/>
      <c r="L5" s="4"/>
      <c r="M5" s="4"/>
      <c r="N5" s="4"/>
      <c r="O5" s="4"/>
      <c r="P5" s="4"/>
      <c r="Q5" s="4"/>
      <c r="R5" s="7"/>
      <c r="S5" s="7"/>
      <c r="T5" s="4"/>
      <c r="U5" s="4"/>
      <c r="V5" s="4"/>
      <c r="W5" s="4"/>
      <c r="X5" s="4"/>
      <c r="Y5" s="4"/>
      <c r="Z5" s="4"/>
    </row>
    <row r="6" ht="12.75" customHeight="1">
      <c r="A6" s="14">
        <v>4.0</v>
      </c>
      <c r="B6" s="15" t="s">
        <v>19</v>
      </c>
      <c r="C6" s="21" t="s">
        <v>20</v>
      </c>
      <c r="D6" s="17"/>
      <c r="E6" s="18"/>
      <c r="F6" s="18" t="str">
        <f>'Power Supply'!G9</f>
        <v>Completed</v>
      </c>
      <c r="G6" s="16"/>
      <c r="H6" s="4"/>
      <c r="I6" s="4"/>
      <c r="J6" s="4"/>
      <c r="K6" s="4"/>
      <c r="L6" s="4"/>
      <c r="M6" s="4"/>
      <c r="N6" s="4"/>
      <c r="O6" s="4"/>
      <c r="P6" s="4"/>
      <c r="Q6" s="4"/>
      <c r="R6" s="7"/>
      <c r="S6" s="7"/>
      <c r="T6" s="4"/>
      <c r="U6" s="4"/>
      <c r="V6" s="4"/>
      <c r="W6" s="4"/>
      <c r="X6" s="4"/>
      <c r="Y6" s="4"/>
      <c r="Z6" s="4"/>
    </row>
    <row r="7" ht="12.75" customHeight="1">
      <c r="A7" s="17">
        <v>5.0</v>
      </c>
      <c r="B7" s="15" t="s">
        <v>21</v>
      </c>
      <c r="C7" s="21" t="s">
        <v>22</v>
      </c>
      <c r="D7" s="17"/>
      <c r="E7" s="18"/>
      <c r="F7" s="18" t="str">
        <f>'Power Simulation'!G9</f>
        <v>Completed</v>
      </c>
      <c r="G7" s="16"/>
      <c r="H7" s="4"/>
      <c r="I7" s="24" t="s">
        <v>23</v>
      </c>
      <c r="J7" s="25" t="s">
        <v>24</v>
      </c>
      <c r="K7" s="4"/>
      <c r="L7" s="4"/>
      <c r="M7" s="4"/>
      <c r="N7" s="4"/>
      <c r="O7" s="4"/>
      <c r="P7" s="4"/>
      <c r="Q7" s="4"/>
      <c r="R7" s="7"/>
      <c r="S7" s="7"/>
      <c r="T7" s="4"/>
      <c r="U7" s="4"/>
      <c r="V7" s="4"/>
      <c r="W7" s="4"/>
      <c r="X7" s="4"/>
      <c r="Y7" s="4"/>
      <c r="Z7" s="4"/>
    </row>
    <row r="8" ht="12.75" customHeight="1">
      <c r="A8" s="17">
        <v>6.0</v>
      </c>
      <c r="B8" s="15" t="s">
        <v>25</v>
      </c>
      <c r="C8" s="21" t="s">
        <v>26</v>
      </c>
      <c r="D8" s="17"/>
      <c r="E8" s="18"/>
      <c r="F8" s="18" t="str">
        <f>'Test Points'!G9</f>
        <v>Completed</v>
      </c>
      <c r="G8" s="16"/>
      <c r="H8" s="4"/>
      <c r="I8" s="26" t="s">
        <v>27</v>
      </c>
      <c r="J8" s="27" t="s">
        <v>28</v>
      </c>
      <c r="K8" s="4"/>
      <c r="L8" s="4"/>
      <c r="M8" s="4"/>
      <c r="N8" s="4"/>
      <c r="O8" s="4"/>
      <c r="P8" s="4"/>
      <c r="Q8" s="4"/>
      <c r="R8" s="7"/>
      <c r="S8" s="7"/>
      <c r="T8" s="4"/>
      <c r="U8" s="4"/>
      <c r="V8" s="4"/>
      <c r="W8" s="4"/>
      <c r="X8" s="4"/>
      <c r="Y8" s="4"/>
      <c r="Z8" s="4"/>
    </row>
    <row r="9">
      <c r="A9" s="14">
        <v>7.0</v>
      </c>
      <c r="B9" s="15" t="s">
        <v>29</v>
      </c>
      <c r="C9" s="21" t="s">
        <v>30</v>
      </c>
      <c r="D9" s="17"/>
      <c r="E9" s="18"/>
      <c r="F9" s="18" t="str">
        <f>DRC!G9</f>
        <v>Completed</v>
      </c>
      <c r="G9" s="16"/>
      <c r="H9" s="4"/>
      <c r="I9" s="28" t="s">
        <v>31</v>
      </c>
      <c r="J9" s="29" t="s">
        <v>29</v>
      </c>
      <c r="K9" s="4"/>
      <c r="L9" s="4"/>
      <c r="M9" s="4"/>
      <c r="N9" s="4"/>
      <c r="O9" s="4"/>
      <c r="P9" s="4"/>
      <c r="Q9" s="4"/>
      <c r="R9" s="7"/>
      <c r="S9" s="7"/>
      <c r="T9" s="4"/>
      <c r="U9" s="4"/>
      <c r="V9" s="4"/>
      <c r="W9" s="4"/>
      <c r="X9" s="4"/>
      <c r="Y9" s="4"/>
      <c r="Z9" s="4"/>
    </row>
    <row r="10">
      <c r="A10" s="17">
        <v>8.0</v>
      </c>
      <c r="B10" s="15" t="s">
        <v>32</v>
      </c>
      <c r="C10" s="21" t="s">
        <v>33</v>
      </c>
      <c r="D10" s="17"/>
      <c r="E10" s="18"/>
      <c r="F10" s="18" t="str">
        <f>Impedance!G9</f>
        <v>Completed</v>
      </c>
      <c r="G10" s="16"/>
      <c r="H10" s="4"/>
      <c r="I10" s="28" t="s">
        <v>34</v>
      </c>
      <c r="J10" s="29" t="s">
        <v>35</v>
      </c>
      <c r="K10" s="4"/>
      <c r="L10" s="4"/>
      <c r="M10" s="4"/>
      <c r="N10" s="4"/>
      <c r="O10" s="4"/>
      <c r="P10" s="4"/>
      <c r="Q10" s="4"/>
      <c r="R10" s="7"/>
      <c r="S10" s="7"/>
      <c r="T10" s="4"/>
      <c r="U10" s="4"/>
      <c r="V10" s="4"/>
      <c r="W10" s="4"/>
      <c r="X10" s="4"/>
      <c r="Y10" s="4"/>
      <c r="Z10" s="4"/>
    </row>
    <row r="11">
      <c r="A11" s="17">
        <v>9.0</v>
      </c>
      <c r="B11" s="15" t="s">
        <v>36</v>
      </c>
      <c r="C11" s="21" t="s">
        <v>37</v>
      </c>
      <c r="D11" s="17"/>
      <c r="E11" s="18"/>
      <c r="F11" s="18" t="str">
        <f>'Level Translators, Reset, LED'!G9</f>
        <v>Completed</v>
      </c>
      <c r="G11" s="16"/>
      <c r="H11" s="4"/>
      <c r="I11" s="30" t="s">
        <v>38</v>
      </c>
      <c r="J11" s="31" t="s">
        <v>39</v>
      </c>
      <c r="K11" s="4"/>
      <c r="L11" s="4"/>
      <c r="M11" s="4"/>
      <c r="N11" s="4"/>
      <c r="O11" s="4"/>
      <c r="P11" s="4"/>
      <c r="Q11" s="4"/>
      <c r="R11" s="7"/>
      <c r="S11" s="7"/>
      <c r="T11" s="4"/>
      <c r="U11" s="4"/>
      <c r="V11" s="4"/>
      <c r="W11" s="4"/>
      <c r="X11" s="4"/>
      <c r="Y11" s="4"/>
      <c r="Z11" s="4"/>
    </row>
    <row r="12">
      <c r="A12" s="14">
        <v>10.0</v>
      </c>
      <c r="B12" s="15" t="s">
        <v>40</v>
      </c>
      <c r="C12" s="21" t="s">
        <v>41</v>
      </c>
      <c r="D12" s="17"/>
      <c r="E12" s="18"/>
      <c r="F12" s="18" t="str">
        <f>'Display, Trigger'!G9</f>
        <v>Completed</v>
      </c>
      <c r="G12" s="16"/>
      <c r="H12" s="4"/>
      <c r="K12" s="4"/>
      <c r="L12" s="4"/>
      <c r="M12" s="4"/>
      <c r="N12" s="4"/>
      <c r="O12" s="4"/>
      <c r="P12" s="4"/>
      <c r="Q12" s="4"/>
      <c r="R12" s="7"/>
      <c r="S12" s="7"/>
      <c r="T12" s="4"/>
      <c r="U12" s="4"/>
      <c r="V12" s="4"/>
      <c r="W12" s="4"/>
      <c r="X12" s="4"/>
      <c r="Y12" s="4"/>
      <c r="Z12" s="4"/>
    </row>
    <row r="13" ht="12.75" customHeight="1">
      <c r="A13" s="17">
        <v>11.0</v>
      </c>
      <c r="B13" s="15" t="s">
        <v>42</v>
      </c>
      <c r="C13" s="16" t="s">
        <v>43</v>
      </c>
      <c r="D13" s="17"/>
      <c r="E13" s="18"/>
      <c r="F13" s="18" t="str">
        <f>'USB,SPI and I2C'!G9</f>
        <v>Completed</v>
      </c>
      <c r="G13" s="16"/>
      <c r="H13" s="4"/>
      <c r="K13" s="4"/>
      <c r="L13" s="4"/>
      <c r="M13" s="4"/>
      <c r="N13" s="4"/>
      <c r="O13" s="4"/>
      <c r="P13" s="4"/>
      <c r="Q13" s="4"/>
      <c r="R13" s="7"/>
      <c r="S13" s="7"/>
      <c r="T13" s="4"/>
      <c r="U13" s="4"/>
      <c r="V13" s="4"/>
      <c r="W13" s="4"/>
      <c r="X13" s="4"/>
      <c r="Y13" s="4"/>
      <c r="Z13" s="4"/>
    </row>
    <row r="14" ht="12.75" customHeight="1">
      <c r="A14" s="17">
        <v>12.0</v>
      </c>
      <c r="B14" s="15" t="s">
        <v>44</v>
      </c>
      <c r="C14" s="21" t="s">
        <v>45</v>
      </c>
      <c r="D14" s="17"/>
      <c r="E14" s="18"/>
      <c r="F14" s="18" t="str">
        <f>SFP!G9</f>
        <v>Completed</v>
      </c>
      <c r="G14" s="16"/>
      <c r="H14" s="4"/>
      <c r="I14" s="4"/>
      <c r="J14" s="4"/>
      <c r="K14" s="4"/>
      <c r="L14" s="4"/>
      <c r="M14" s="4"/>
      <c r="N14" s="4"/>
      <c r="O14" s="4"/>
      <c r="P14" s="4"/>
      <c r="Q14" s="4"/>
      <c r="R14" s="7"/>
      <c r="S14" s="7"/>
      <c r="T14" s="4"/>
      <c r="U14" s="4"/>
      <c r="V14" s="4"/>
      <c r="W14" s="4"/>
      <c r="X14" s="4"/>
      <c r="Y14" s="4"/>
      <c r="Z14" s="4"/>
    </row>
    <row r="15" ht="12.75" customHeight="1">
      <c r="A15" s="14">
        <v>13.0</v>
      </c>
      <c r="B15" s="15" t="s">
        <v>46</v>
      </c>
      <c r="C15" s="21" t="s">
        <v>47</v>
      </c>
      <c r="D15" s="17"/>
      <c r="E15" s="18"/>
      <c r="F15" s="18" t="str">
        <f>FPGA!G9</f>
        <v>Completed</v>
      </c>
      <c r="G15" s="16"/>
      <c r="H15" s="4"/>
      <c r="I15" s="4"/>
      <c r="J15" s="4"/>
      <c r="K15" s="4"/>
      <c r="L15" s="4"/>
      <c r="M15" s="4"/>
      <c r="N15" s="4"/>
      <c r="O15" s="4"/>
      <c r="P15" s="4"/>
      <c r="Q15" s="4"/>
      <c r="R15" s="7"/>
      <c r="S15" s="7"/>
      <c r="T15" s="4"/>
      <c r="U15" s="4"/>
      <c r="V15" s="4"/>
      <c r="W15" s="4"/>
      <c r="X15" s="4"/>
      <c r="Y15" s="4"/>
      <c r="Z15" s="4"/>
    </row>
    <row r="16" ht="12.75" customHeight="1">
      <c r="A16" s="17">
        <v>14.0</v>
      </c>
      <c r="B16" s="15" t="s">
        <v>48</v>
      </c>
      <c r="C16" s="21" t="s">
        <v>49</v>
      </c>
      <c r="D16" s="17"/>
      <c r="E16" s="18"/>
      <c r="F16" s="18" t="str">
        <f>'PCIe Connector'!G9</f>
        <v>Completed</v>
      </c>
      <c r="G16" s="16"/>
      <c r="H16" s="4"/>
      <c r="I16" s="4"/>
      <c r="J16" s="4"/>
      <c r="K16" s="4"/>
      <c r="L16" s="4"/>
      <c r="M16" s="4"/>
      <c r="N16" s="4"/>
      <c r="O16" s="4"/>
      <c r="P16" s="4"/>
      <c r="Q16" s="4"/>
      <c r="R16" s="7"/>
      <c r="S16" s="7"/>
      <c r="T16" s="4"/>
      <c r="U16" s="4"/>
      <c r="V16" s="4"/>
      <c r="W16" s="4"/>
      <c r="X16" s="4"/>
      <c r="Y16" s="4"/>
      <c r="Z16" s="4"/>
    </row>
    <row r="17" ht="12.75" customHeight="1">
      <c r="A17" s="17">
        <v>15.0</v>
      </c>
      <c r="B17" s="15" t="s">
        <v>50</v>
      </c>
      <c r="C17" s="16" t="s">
        <v>51</v>
      </c>
      <c r="D17" s="17"/>
      <c r="E17" s="18"/>
      <c r="F17" s="18" t="str">
        <f>' General Points'!G9</f>
        <v>Completed</v>
      </c>
      <c r="G17" s="16"/>
      <c r="H17" s="4"/>
      <c r="I17" s="4"/>
      <c r="J17" s="4"/>
      <c r="K17" s="4"/>
      <c r="L17" s="4"/>
      <c r="M17" s="4"/>
      <c r="N17" s="4"/>
      <c r="O17" s="4"/>
      <c r="P17" s="4"/>
      <c r="Q17" s="4"/>
      <c r="R17" s="7"/>
      <c r="S17" s="7"/>
      <c r="T17" s="4"/>
      <c r="U17" s="4"/>
      <c r="V17" s="4"/>
      <c r="W17" s="4"/>
      <c r="X17" s="4"/>
      <c r="Y17" s="4"/>
      <c r="Z17" s="4"/>
    </row>
    <row r="18" ht="12.75" customHeight="1">
      <c r="A18" s="14"/>
      <c r="B18" s="15" t="s">
        <v>52</v>
      </c>
      <c r="C18" s="21"/>
      <c r="D18" s="17"/>
      <c r="E18" s="32"/>
      <c r="F18" s="18" t="str">
        <f>Addon_Sheet1!G10</f>
        <v>Completed</v>
      </c>
      <c r="G18" s="16"/>
      <c r="H18" s="4"/>
      <c r="I18" s="4"/>
      <c r="J18" s="4"/>
      <c r="K18" s="4"/>
      <c r="L18" s="4"/>
      <c r="M18" s="4"/>
      <c r="N18" s="4"/>
      <c r="O18" s="4"/>
      <c r="P18" s="4"/>
      <c r="Q18" s="4"/>
      <c r="R18" s="7"/>
      <c r="S18" s="7"/>
      <c r="T18" s="4"/>
      <c r="U18" s="4"/>
      <c r="V18" s="4"/>
      <c r="W18" s="4"/>
      <c r="X18" s="4"/>
      <c r="Y18" s="4"/>
      <c r="Z18" s="4"/>
    </row>
    <row r="19" ht="12.75" customHeight="1">
      <c r="A19" s="17">
        <v>17.0</v>
      </c>
      <c r="B19" s="15" t="s">
        <v>53</v>
      </c>
      <c r="C19" s="21"/>
      <c r="D19" s="17"/>
      <c r="E19" s="32"/>
      <c r="F19" s="18" t="str">
        <f>Addon_Sheet2!G9</f>
        <v>Completed</v>
      </c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7"/>
      <c r="S19" s="7"/>
      <c r="T19" s="4"/>
      <c r="U19" s="4"/>
      <c r="V19" s="4"/>
      <c r="W19" s="4"/>
      <c r="X19" s="4"/>
      <c r="Y19" s="4"/>
      <c r="Z19" s="4"/>
    </row>
    <row r="20" ht="52.5" customHeight="1">
      <c r="A20" s="17">
        <v>18.0</v>
      </c>
      <c r="B20" s="15" t="s">
        <v>54</v>
      </c>
      <c r="C20" s="21"/>
      <c r="D20" s="17"/>
      <c r="E20" s="18"/>
      <c r="F20" s="18" t="str">
        <f>Addon_Sheet3!G9</f>
        <v>Completed</v>
      </c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7"/>
      <c r="S20" s="7"/>
      <c r="T20" s="4"/>
      <c r="U20" s="4"/>
      <c r="V20" s="4"/>
      <c r="W20" s="4"/>
      <c r="X20" s="4"/>
      <c r="Y20" s="4"/>
      <c r="Z20" s="4"/>
    </row>
    <row r="21" ht="12.75" customHeight="1">
      <c r="A21" s="14">
        <v>16.0</v>
      </c>
      <c r="D21" s="14"/>
      <c r="E21" s="32"/>
      <c r="F21" s="18" t="str">
        <f>Symbol!G27</f>
        <v/>
      </c>
      <c r="G21" s="21"/>
      <c r="H21" s="4"/>
      <c r="I21" s="4"/>
      <c r="L21" s="4"/>
      <c r="M21" s="4"/>
      <c r="N21" s="4"/>
      <c r="O21" s="4"/>
      <c r="P21" s="4"/>
      <c r="Q21" s="4"/>
      <c r="R21" s="7"/>
      <c r="S21" s="7"/>
      <c r="T21" s="4"/>
      <c r="U21" s="4"/>
      <c r="V21" s="4"/>
      <c r="W21" s="4"/>
      <c r="X21" s="4"/>
      <c r="Y21" s="4"/>
      <c r="Z21" s="4"/>
    </row>
    <row r="22" ht="12.75" customHeight="1">
      <c r="A22" s="14"/>
      <c r="B22" s="21"/>
      <c r="C22" s="21"/>
      <c r="D22" s="14"/>
      <c r="E22" s="32"/>
      <c r="F22" s="32"/>
      <c r="G22" s="21"/>
      <c r="H22" s="4"/>
      <c r="I22" s="4"/>
      <c r="L22" s="4"/>
      <c r="M22" s="4"/>
      <c r="N22" s="4"/>
      <c r="O22" s="4"/>
      <c r="P22" s="4"/>
      <c r="Q22" s="4"/>
      <c r="R22" s="7"/>
      <c r="S22" s="7"/>
      <c r="T22" s="4"/>
      <c r="U22" s="4"/>
      <c r="V22" s="4"/>
      <c r="W22" s="4"/>
      <c r="X22" s="4"/>
      <c r="Y22" s="4"/>
      <c r="Z22" s="4"/>
    </row>
    <row r="23" ht="12.75" customHeight="1">
      <c r="A23" s="14"/>
      <c r="B23" s="21"/>
      <c r="C23" s="21"/>
      <c r="D23" s="14"/>
      <c r="E23" s="32"/>
      <c r="F23" s="32"/>
      <c r="G23" s="21"/>
      <c r="H23" s="4"/>
      <c r="I23" s="4"/>
      <c r="L23" s="4"/>
      <c r="M23" s="4"/>
      <c r="N23" s="4"/>
      <c r="O23" s="4"/>
      <c r="P23" s="4"/>
      <c r="Q23" s="4"/>
      <c r="R23" s="7"/>
      <c r="S23" s="7"/>
      <c r="T23" s="4"/>
      <c r="U23" s="4"/>
      <c r="V23" s="4"/>
      <c r="W23" s="4"/>
      <c r="X23" s="4"/>
      <c r="Y23" s="4"/>
      <c r="Z23" s="4"/>
    </row>
    <row r="24" ht="12.75" customHeight="1">
      <c r="A24" s="14"/>
      <c r="B24" s="21"/>
      <c r="C24" s="21"/>
      <c r="D24" s="14"/>
      <c r="E24" s="32"/>
      <c r="F24" s="32"/>
      <c r="G24" s="21"/>
      <c r="H24" s="4"/>
      <c r="I24" s="4"/>
      <c r="L24" s="4"/>
      <c r="M24" s="4"/>
      <c r="N24" s="4"/>
      <c r="O24" s="4"/>
      <c r="P24" s="4"/>
      <c r="Q24" s="4"/>
      <c r="R24" s="7"/>
      <c r="S24" s="7"/>
      <c r="T24" s="4"/>
      <c r="U24" s="4"/>
      <c r="V24" s="4"/>
      <c r="W24" s="4"/>
      <c r="X24" s="4"/>
      <c r="Y24" s="4"/>
      <c r="Z24" s="4"/>
    </row>
    <row r="25" ht="12.75" customHeight="1">
      <c r="A25" s="14"/>
      <c r="B25" s="21"/>
      <c r="C25" s="21"/>
      <c r="D25" s="14"/>
      <c r="E25" s="32"/>
      <c r="F25" s="32"/>
      <c r="G25" s="21"/>
      <c r="H25" s="4"/>
      <c r="I25" s="4"/>
      <c r="L25" s="4"/>
      <c r="M25" s="4"/>
      <c r="N25" s="4"/>
      <c r="O25" s="4"/>
      <c r="P25" s="4"/>
      <c r="Q25" s="4"/>
      <c r="R25" s="7"/>
      <c r="S25" s="7"/>
      <c r="T25" s="4"/>
      <c r="U25" s="4"/>
      <c r="V25" s="4"/>
      <c r="W25" s="4"/>
      <c r="X25" s="4"/>
      <c r="Y25" s="4"/>
      <c r="Z25" s="4"/>
    </row>
    <row r="26" ht="12.75" customHeight="1">
      <c r="A26" s="14"/>
      <c r="B26" s="21"/>
      <c r="C26" s="21"/>
      <c r="D26" s="14"/>
      <c r="E26" s="32"/>
      <c r="F26" s="32"/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7"/>
      <c r="S26" s="7"/>
      <c r="T26" s="4"/>
      <c r="U26" s="4"/>
      <c r="V26" s="4"/>
      <c r="W26" s="4"/>
      <c r="X26" s="4"/>
      <c r="Y26" s="4"/>
      <c r="Z26" s="4"/>
    </row>
    <row r="27" ht="12.75" customHeight="1">
      <c r="A27" s="14"/>
      <c r="B27" s="21"/>
      <c r="C27" s="21"/>
      <c r="D27" s="14"/>
      <c r="E27" s="32"/>
      <c r="F27" s="32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7"/>
      <c r="S27" s="7"/>
      <c r="T27" s="4"/>
      <c r="U27" s="4"/>
      <c r="V27" s="4"/>
      <c r="W27" s="4"/>
      <c r="X27" s="4"/>
      <c r="Y27" s="4"/>
      <c r="Z27" s="4"/>
    </row>
    <row r="28">
      <c r="A28" s="14"/>
      <c r="B28" s="21"/>
      <c r="C28" s="21"/>
      <c r="D28" s="14"/>
      <c r="E28" s="32"/>
      <c r="F28" s="32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7"/>
      <c r="S28" s="7"/>
      <c r="T28" s="4"/>
      <c r="U28" s="4"/>
      <c r="V28" s="4"/>
      <c r="W28" s="4"/>
      <c r="X28" s="4"/>
      <c r="Y28" s="4"/>
      <c r="Z28" s="4"/>
    </row>
    <row r="29">
      <c r="A29" s="14"/>
      <c r="B29" s="21"/>
      <c r="C29" s="21"/>
      <c r="D29" s="14"/>
      <c r="E29" s="32"/>
      <c r="F29" s="32"/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7"/>
      <c r="S29" s="7"/>
      <c r="T29" s="4"/>
      <c r="U29" s="4"/>
      <c r="V29" s="4"/>
      <c r="W29" s="4"/>
      <c r="X29" s="4"/>
      <c r="Y29" s="4"/>
      <c r="Z29" s="4"/>
    </row>
    <row r="30">
      <c r="A30" s="14"/>
      <c r="B30" s="21"/>
      <c r="C30" s="21"/>
      <c r="D30" s="14"/>
      <c r="E30" s="32"/>
      <c r="F30" s="32"/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7"/>
      <c r="S30" s="7"/>
      <c r="T30" s="4"/>
      <c r="U30" s="4"/>
      <c r="V30" s="4"/>
      <c r="W30" s="4"/>
      <c r="X30" s="4"/>
      <c r="Y30" s="4"/>
      <c r="Z30" s="4"/>
    </row>
    <row r="31" ht="12.75" customHeight="1">
      <c r="A31" s="14"/>
      <c r="B31" s="21"/>
      <c r="C31" s="21"/>
      <c r="D31" s="14"/>
      <c r="E31" s="32"/>
      <c r="F31" s="32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7"/>
      <c r="S31" s="7"/>
      <c r="T31" s="4"/>
      <c r="U31" s="4"/>
      <c r="V31" s="4"/>
      <c r="W31" s="4"/>
      <c r="X31" s="4"/>
      <c r="Y31" s="4"/>
      <c r="Z31" s="4"/>
    </row>
    <row r="32" ht="12.75" customHeight="1">
      <c r="A32" s="14"/>
      <c r="B32" s="21"/>
      <c r="C32" s="21"/>
      <c r="D32" s="14"/>
      <c r="E32" s="32"/>
      <c r="F32" s="32"/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7"/>
      <c r="S32" s="7"/>
      <c r="T32" s="4"/>
      <c r="U32" s="4"/>
      <c r="V32" s="4"/>
      <c r="W32" s="4"/>
      <c r="X32" s="4"/>
      <c r="Y32" s="4"/>
      <c r="Z32" s="4"/>
    </row>
    <row r="33" ht="12.75" customHeight="1">
      <c r="A33" s="14"/>
      <c r="B33" s="21"/>
      <c r="C33" s="21"/>
      <c r="D33" s="14"/>
      <c r="E33" s="32"/>
      <c r="F33" s="32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7"/>
      <c r="S33" s="7"/>
      <c r="T33" s="4"/>
      <c r="U33" s="4"/>
      <c r="V33" s="4"/>
      <c r="W33" s="4"/>
      <c r="X33" s="4"/>
      <c r="Y33" s="4"/>
      <c r="Z33" s="4"/>
    </row>
    <row r="34" ht="12.75" customHeight="1">
      <c r="A34" s="14"/>
      <c r="B34" s="21"/>
      <c r="C34" s="21"/>
      <c r="D34" s="14"/>
      <c r="E34" s="32"/>
      <c r="F34" s="32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7"/>
      <c r="S34" s="7"/>
      <c r="T34" s="4"/>
      <c r="U34" s="4"/>
      <c r="V34" s="4"/>
      <c r="W34" s="4"/>
      <c r="X34" s="4"/>
      <c r="Y34" s="4"/>
      <c r="Z34" s="4"/>
    </row>
    <row r="35" ht="12.75" customHeight="1">
      <c r="A35" s="14"/>
      <c r="B35" s="21"/>
      <c r="C35" s="21"/>
      <c r="D35" s="14"/>
      <c r="E35" s="32"/>
      <c r="F35" s="32"/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7"/>
      <c r="S35" s="7"/>
      <c r="T35" s="4"/>
      <c r="U35" s="4"/>
      <c r="V35" s="4"/>
      <c r="W35" s="4"/>
      <c r="X35" s="4"/>
      <c r="Y35" s="4"/>
      <c r="Z35" s="4"/>
    </row>
    <row r="36" ht="12.75" customHeight="1">
      <c r="A36" s="14"/>
      <c r="B36" s="21"/>
      <c r="C36" s="21"/>
      <c r="D36" s="14"/>
      <c r="E36" s="32"/>
      <c r="F36" s="32"/>
      <c r="G36" s="21"/>
      <c r="H36" s="4"/>
      <c r="I36" s="4"/>
      <c r="J36" s="4"/>
      <c r="K36" s="4"/>
      <c r="L36" s="4"/>
      <c r="M36" s="4"/>
      <c r="N36" s="4"/>
      <c r="O36" s="4"/>
      <c r="P36" s="4"/>
      <c r="Q36" s="4"/>
      <c r="R36" s="7"/>
      <c r="S36" s="7"/>
      <c r="T36" s="4"/>
      <c r="U36" s="4"/>
      <c r="V36" s="4"/>
      <c r="W36" s="4"/>
      <c r="X36" s="4"/>
      <c r="Y36" s="4"/>
      <c r="Z36" s="4"/>
    </row>
    <row r="37" ht="12.75" customHeight="1">
      <c r="A37" s="14"/>
      <c r="B37" s="21"/>
      <c r="C37" s="21"/>
      <c r="D37" s="14"/>
      <c r="E37" s="32"/>
      <c r="F37" s="32"/>
      <c r="G37" s="21"/>
      <c r="H37" s="4"/>
      <c r="I37" s="4"/>
      <c r="J37" s="4"/>
      <c r="K37" s="4"/>
      <c r="L37" s="4"/>
      <c r="M37" s="4"/>
      <c r="N37" s="4"/>
      <c r="O37" s="4"/>
      <c r="P37" s="4"/>
      <c r="Q37" s="4"/>
      <c r="R37" s="7"/>
      <c r="S37" s="7"/>
      <c r="T37" s="4"/>
      <c r="U37" s="4"/>
      <c r="V37" s="4"/>
      <c r="W37" s="4"/>
      <c r="X37" s="4"/>
      <c r="Y37" s="4"/>
      <c r="Z37" s="4"/>
    </row>
    <row r="38" ht="12.75" customHeight="1">
      <c r="A38" s="14"/>
      <c r="B38" s="21"/>
      <c r="C38" s="21"/>
      <c r="D38" s="14"/>
      <c r="E38" s="32"/>
      <c r="F38" s="32"/>
      <c r="G38" s="21"/>
      <c r="H38" s="4"/>
      <c r="I38" s="4"/>
      <c r="J38" s="4"/>
      <c r="K38" s="4"/>
      <c r="L38" s="4"/>
      <c r="M38" s="4"/>
      <c r="N38" s="4"/>
      <c r="O38" s="4"/>
      <c r="P38" s="4"/>
      <c r="Q38" s="4"/>
      <c r="R38" s="7"/>
      <c r="S38" s="7"/>
      <c r="T38" s="4"/>
      <c r="U38" s="4"/>
      <c r="V38" s="4"/>
      <c r="W38" s="4"/>
      <c r="X38" s="4"/>
      <c r="Y38" s="4"/>
      <c r="Z38" s="4"/>
    </row>
    <row r="39" ht="12.75" customHeight="1">
      <c r="A39" s="14"/>
      <c r="B39" s="21"/>
      <c r="C39" s="21"/>
      <c r="D39" s="14"/>
      <c r="E39" s="32"/>
      <c r="F39" s="32"/>
      <c r="G39" s="21"/>
      <c r="H39" s="4"/>
      <c r="I39" s="4"/>
      <c r="J39" s="4"/>
      <c r="K39" s="4"/>
      <c r="L39" s="4"/>
      <c r="M39" s="4"/>
      <c r="N39" s="4"/>
      <c r="O39" s="4"/>
      <c r="P39" s="4"/>
      <c r="Q39" s="4"/>
      <c r="R39" s="7"/>
      <c r="S39" s="7"/>
      <c r="T39" s="4"/>
      <c r="U39" s="4"/>
      <c r="V39" s="4"/>
      <c r="W39" s="4"/>
      <c r="X39" s="4"/>
      <c r="Y39" s="4"/>
      <c r="Z39" s="4"/>
    </row>
    <row r="40" ht="12.75" customHeight="1">
      <c r="A40" s="14"/>
      <c r="B40" s="21"/>
      <c r="C40" s="21"/>
      <c r="D40" s="14"/>
      <c r="E40" s="32"/>
      <c r="F40" s="32"/>
      <c r="G40" s="21"/>
      <c r="H40" s="4"/>
      <c r="I40" s="4"/>
      <c r="J40" s="4"/>
      <c r="K40" s="4"/>
      <c r="L40" s="4"/>
      <c r="M40" s="4"/>
      <c r="N40" s="4"/>
      <c r="O40" s="4"/>
      <c r="P40" s="4"/>
      <c r="Q40" s="4"/>
      <c r="R40" s="7"/>
      <c r="S40" s="7"/>
      <c r="T40" s="4"/>
      <c r="U40" s="4"/>
      <c r="V40" s="4"/>
      <c r="W40" s="4"/>
      <c r="X40" s="4"/>
      <c r="Y40" s="4"/>
      <c r="Z40" s="4"/>
    </row>
    <row r="41" ht="12.75" customHeight="1">
      <c r="A41" s="14"/>
      <c r="B41" s="21"/>
      <c r="C41" s="21"/>
      <c r="D41" s="14"/>
      <c r="E41" s="32"/>
      <c r="F41" s="32"/>
      <c r="G41" s="21"/>
      <c r="H41" s="4"/>
      <c r="I41" s="4"/>
      <c r="J41" s="4"/>
      <c r="K41" s="4"/>
      <c r="L41" s="4"/>
      <c r="M41" s="4"/>
      <c r="N41" s="4"/>
      <c r="O41" s="4"/>
      <c r="P41" s="4"/>
      <c r="Q41" s="4"/>
      <c r="R41" s="7"/>
      <c r="S41" s="7"/>
      <c r="T41" s="4"/>
      <c r="U41" s="4"/>
      <c r="V41" s="4"/>
      <c r="W41" s="4"/>
      <c r="X41" s="4"/>
      <c r="Y41" s="4"/>
      <c r="Z41" s="4"/>
    </row>
    <row r="42" ht="12.75" customHeight="1">
      <c r="A42" s="14"/>
      <c r="B42" s="21"/>
      <c r="C42" s="21"/>
      <c r="D42" s="14"/>
      <c r="E42" s="32"/>
      <c r="F42" s="32"/>
      <c r="G42" s="21"/>
      <c r="H42" s="4"/>
      <c r="I42" s="4"/>
      <c r="J42" s="4"/>
      <c r="K42" s="4"/>
      <c r="L42" s="4"/>
      <c r="M42" s="4"/>
      <c r="N42" s="4"/>
      <c r="O42" s="4"/>
      <c r="P42" s="4"/>
      <c r="Q42" s="4"/>
      <c r="R42" s="7"/>
      <c r="S42" s="7"/>
      <c r="T42" s="4"/>
      <c r="U42" s="4"/>
      <c r="V42" s="4"/>
      <c r="W42" s="4"/>
      <c r="X42" s="4"/>
      <c r="Y42" s="4"/>
      <c r="Z42" s="4"/>
    </row>
    <row r="43" ht="12.75" customHeight="1">
      <c r="A43" s="14"/>
      <c r="B43" s="21"/>
      <c r="C43" s="21"/>
      <c r="D43" s="14"/>
      <c r="E43" s="32"/>
      <c r="F43" s="32"/>
      <c r="G43" s="21"/>
      <c r="H43" s="4"/>
      <c r="I43" s="4"/>
      <c r="J43" s="4"/>
      <c r="K43" s="4"/>
      <c r="L43" s="4"/>
      <c r="M43" s="4"/>
      <c r="N43" s="4"/>
      <c r="O43" s="4"/>
      <c r="P43" s="4"/>
      <c r="Q43" s="4"/>
      <c r="R43" s="7"/>
      <c r="S43" s="7"/>
      <c r="T43" s="4"/>
      <c r="U43" s="4"/>
      <c r="V43" s="4"/>
      <c r="W43" s="4"/>
      <c r="X43" s="4"/>
      <c r="Y43" s="4"/>
      <c r="Z43" s="4"/>
    </row>
    <row r="44" ht="12.75" customHeight="1">
      <c r="A44" s="14"/>
      <c r="B44" s="21"/>
      <c r="C44" s="21"/>
      <c r="D44" s="14"/>
      <c r="E44" s="32"/>
      <c r="F44" s="32"/>
      <c r="G44" s="21"/>
      <c r="H44" s="4"/>
      <c r="I44" s="4"/>
      <c r="J44" s="4"/>
      <c r="K44" s="4"/>
      <c r="L44" s="4"/>
      <c r="M44" s="4"/>
      <c r="N44" s="4"/>
      <c r="O44" s="4"/>
      <c r="P44" s="4"/>
      <c r="Q44" s="4"/>
      <c r="R44" s="7"/>
      <c r="S44" s="7"/>
      <c r="T44" s="4"/>
      <c r="U44" s="4"/>
      <c r="V44" s="4"/>
      <c r="W44" s="4"/>
      <c r="X44" s="4"/>
      <c r="Y44" s="4"/>
      <c r="Z44" s="4"/>
    </row>
    <row r="45" ht="12.75" customHeight="1">
      <c r="A45" s="14"/>
      <c r="B45" s="21"/>
      <c r="C45" s="21"/>
      <c r="D45" s="14"/>
      <c r="E45" s="32"/>
      <c r="F45" s="32"/>
      <c r="G45" s="21"/>
      <c r="H45" s="4"/>
      <c r="I45" s="4"/>
      <c r="J45" s="4"/>
      <c r="K45" s="4"/>
      <c r="L45" s="4"/>
      <c r="M45" s="4"/>
      <c r="N45" s="4"/>
      <c r="O45" s="4"/>
      <c r="P45" s="4"/>
      <c r="Q45" s="4"/>
      <c r="R45" s="7"/>
      <c r="S45" s="7"/>
      <c r="T45" s="4"/>
      <c r="U45" s="4"/>
      <c r="V45" s="4"/>
      <c r="W45" s="4"/>
      <c r="X45" s="4"/>
      <c r="Y45" s="4"/>
      <c r="Z45" s="4"/>
    </row>
    <row r="46" ht="12.75" customHeight="1">
      <c r="A46" s="14"/>
      <c r="B46" s="21"/>
      <c r="C46" s="21"/>
      <c r="D46" s="14"/>
      <c r="E46" s="32"/>
      <c r="F46" s="32"/>
      <c r="G46" s="21"/>
      <c r="H46" s="4"/>
      <c r="I46" s="4"/>
      <c r="J46" s="4"/>
      <c r="K46" s="4"/>
      <c r="L46" s="4"/>
      <c r="M46" s="4"/>
      <c r="N46" s="4"/>
      <c r="O46" s="4"/>
      <c r="P46" s="4"/>
      <c r="Q46" s="4"/>
      <c r="R46" s="7"/>
      <c r="S46" s="7"/>
      <c r="T46" s="4"/>
      <c r="U46" s="4"/>
      <c r="V46" s="4"/>
      <c r="W46" s="4"/>
      <c r="X46" s="4"/>
      <c r="Y46" s="4"/>
      <c r="Z46" s="4"/>
    </row>
    <row r="47" ht="12.75" customHeight="1">
      <c r="A47" s="14"/>
      <c r="B47" s="21"/>
      <c r="C47" s="21"/>
      <c r="D47" s="14"/>
      <c r="E47" s="32"/>
      <c r="F47" s="32"/>
      <c r="G47" s="21"/>
      <c r="H47" s="4"/>
      <c r="I47" s="4"/>
      <c r="J47" s="4"/>
      <c r="K47" s="4"/>
      <c r="L47" s="4"/>
      <c r="M47" s="4"/>
      <c r="N47" s="4"/>
      <c r="O47" s="4"/>
      <c r="P47" s="4"/>
      <c r="Q47" s="4"/>
      <c r="R47" s="7"/>
      <c r="S47" s="7"/>
      <c r="T47" s="4"/>
      <c r="U47" s="4"/>
      <c r="V47" s="4"/>
      <c r="W47" s="4"/>
      <c r="X47" s="4"/>
      <c r="Y47" s="4"/>
      <c r="Z47" s="4"/>
    </row>
    <row r="48" ht="12.75" customHeight="1">
      <c r="A48" s="14"/>
      <c r="B48" s="21"/>
      <c r="C48" s="21"/>
      <c r="D48" s="14"/>
      <c r="E48" s="32"/>
      <c r="F48" s="32"/>
      <c r="G48" s="21"/>
      <c r="H48" s="4"/>
      <c r="I48" s="4"/>
      <c r="J48" s="4"/>
      <c r="K48" s="4"/>
      <c r="L48" s="4"/>
      <c r="M48" s="4"/>
      <c r="N48" s="4"/>
      <c r="O48" s="4"/>
      <c r="P48" s="4"/>
      <c r="Q48" s="4"/>
      <c r="R48" s="7"/>
      <c r="S48" s="7"/>
      <c r="T48" s="4"/>
      <c r="U48" s="4"/>
      <c r="V48" s="4"/>
      <c r="W48" s="4"/>
      <c r="X48" s="4"/>
      <c r="Y48" s="4"/>
      <c r="Z48" s="4"/>
    </row>
    <row r="49" ht="12.75" customHeight="1">
      <c r="A49" s="14"/>
      <c r="B49" s="21"/>
      <c r="C49" s="21"/>
      <c r="D49" s="14"/>
      <c r="E49" s="32"/>
      <c r="F49" s="32"/>
      <c r="G49" s="21"/>
      <c r="H49" s="4"/>
      <c r="I49" s="4"/>
      <c r="J49" s="4"/>
      <c r="K49" s="4"/>
      <c r="L49" s="4"/>
      <c r="M49" s="4"/>
      <c r="N49" s="4"/>
      <c r="O49" s="4"/>
      <c r="P49" s="4"/>
      <c r="Q49" s="4"/>
      <c r="R49" s="7"/>
      <c r="S49" s="7"/>
      <c r="T49" s="4"/>
      <c r="U49" s="4"/>
      <c r="V49" s="4"/>
      <c r="W49" s="4"/>
      <c r="X49" s="4"/>
      <c r="Y49" s="4"/>
      <c r="Z49" s="4"/>
    </row>
    <row r="50" ht="12.75" customHeight="1">
      <c r="A50" s="14"/>
      <c r="B50" s="21"/>
      <c r="C50" s="21"/>
      <c r="D50" s="14"/>
      <c r="E50" s="32"/>
      <c r="F50" s="32"/>
      <c r="G50" s="21"/>
      <c r="H50" s="4"/>
      <c r="I50" s="4"/>
      <c r="J50" s="4"/>
      <c r="K50" s="4"/>
      <c r="L50" s="4"/>
      <c r="M50" s="4"/>
      <c r="N50" s="4"/>
      <c r="O50" s="4"/>
      <c r="P50" s="4"/>
      <c r="Q50" s="4"/>
      <c r="R50" s="7"/>
      <c r="S50" s="7"/>
      <c r="T50" s="4"/>
      <c r="U50" s="4"/>
      <c r="V50" s="4"/>
      <c r="W50" s="4"/>
      <c r="X50" s="4"/>
      <c r="Y50" s="4"/>
      <c r="Z50" s="4"/>
    </row>
    <row r="51" ht="12.75" customHeight="1">
      <c r="A51" s="14"/>
      <c r="B51" s="21"/>
      <c r="C51" s="21"/>
      <c r="D51" s="14"/>
      <c r="E51" s="32"/>
      <c r="F51" s="32"/>
      <c r="G51" s="21"/>
      <c r="H51" s="4"/>
      <c r="I51" s="4"/>
      <c r="J51" s="4"/>
      <c r="K51" s="4"/>
      <c r="L51" s="4"/>
      <c r="M51" s="4"/>
      <c r="N51" s="4"/>
      <c r="O51" s="4"/>
      <c r="P51" s="4"/>
      <c r="Q51" s="4"/>
      <c r="R51" s="7"/>
      <c r="S51" s="7"/>
      <c r="T51" s="4"/>
      <c r="U51" s="4"/>
      <c r="V51" s="4"/>
      <c r="W51" s="4"/>
      <c r="X51" s="4"/>
      <c r="Y51" s="4"/>
      <c r="Z51" s="4"/>
    </row>
    <row r="52" ht="12.75" customHeight="1">
      <c r="A52" s="14"/>
      <c r="B52" s="21"/>
      <c r="C52" s="21"/>
      <c r="D52" s="14"/>
      <c r="E52" s="32"/>
      <c r="F52" s="32"/>
      <c r="G52" s="21"/>
      <c r="H52" s="4"/>
      <c r="I52" s="4"/>
      <c r="J52" s="4"/>
      <c r="K52" s="4"/>
      <c r="L52" s="4"/>
      <c r="M52" s="4"/>
      <c r="N52" s="4"/>
      <c r="O52" s="4"/>
      <c r="P52" s="4"/>
      <c r="Q52" s="4"/>
      <c r="R52" s="7"/>
      <c r="S52" s="7"/>
      <c r="T52" s="4"/>
      <c r="U52" s="4"/>
      <c r="V52" s="4"/>
      <c r="W52" s="4"/>
      <c r="X52" s="4"/>
      <c r="Y52" s="4"/>
      <c r="Z52" s="4"/>
    </row>
    <row r="53" ht="12.75" customHeight="1">
      <c r="A53" s="14"/>
      <c r="B53" s="21"/>
      <c r="C53" s="21"/>
      <c r="D53" s="14"/>
      <c r="E53" s="32"/>
      <c r="F53" s="32"/>
      <c r="G53" s="21"/>
      <c r="H53" s="4"/>
      <c r="I53" s="4"/>
      <c r="J53" s="4"/>
      <c r="K53" s="4"/>
      <c r="L53" s="4"/>
      <c r="M53" s="4"/>
      <c r="N53" s="4"/>
      <c r="O53" s="4"/>
      <c r="P53" s="4"/>
      <c r="Q53" s="4"/>
      <c r="R53" s="7"/>
      <c r="S53" s="7"/>
      <c r="T53" s="4"/>
      <c r="U53" s="4"/>
      <c r="V53" s="4"/>
      <c r="W53" s="4"/>
      <c r="X53" s="4"/>
      <c r="Y53" s="4"/>
      <c r="Z53" s="4"/>
    </row>
    <row r="54" ht="12.75" customHeight="1">
      <c r="A54" s="14"/>
      <c r="B54" s="21"/>
      <c r="C54" s="21"/>
      <c r="D54" s="14"/>
      <c r="E54" s="32"/>
      <c r="F54" s="32"/>
      <c r="G54" s="21"/>
      <c r="H54" s="4"/>
      <c r="I54" s="4"/>
      <c r="J54" s="4"/>
      <c r="K54" s="4"/>
      <c r="L54" s="4"/>
      <c r="M54" s="4"/>
      <c r="N54" s="4"/>
      <c r="O54" s="4"/>
      <c r="P54" s="4"/>
      <c r="Q54" s="4"/>
      <c r="R54" s="7"/>
      <c r="S54" s="7"/>
      <c r="T54" s="4"/>
      <c r="U54" s="4"/>
      <c r="V54" s="4"/>
      <c r="W54" s="4"/>
      <c r="X54" s="4"/>
      <c r="Y54" s="4"/>
      <c r="Z54" s="4"/>
    </row>
    <row r="55" ht="12.75" customHeight="1">
      <c r="A55" s="14"/>
      <c r="B55" s="21"/>
      <c r="C55" s="21"/>
      <c r="D55" s="14"/>
      <c r="E55" s="32"/>
      <c r="F55" s="32"/>
      <c r="G55" s="21"/>
      <c r="H55" s="4"/>
      <c r="I55" s="4"/>
      <c r="J55" s="4"/>
      <c r="K55" s="4"/>
      <c r="L55" s="4"/>
      <c r="M55" s="4"/>
      <c r="N55" s="4"/>
      <c r="O55" s="4"/>
      <c r="P55" s="4"/>
      <c r="Q55" s="4"/>
      <c r="R55" s="7"/>
      <c r="S55" s="7"/>
      <c r="T55" s="4"/>
      <c r="U55" s="4"/>
      <c r="V55" s="4"/>
      <c r="W55" s="4"/>
      <c r="X55" s="4"/>
      <c r="Y55" s="4"/>
      <c r="Z55" s="4"/>
    </row>
    <row r="56" ht="12.75" customHeight="1">
      <c r="A56" s="14"/>
      <c r="B56" s="21"/>
      <c r="C56" s="21"/>
      <c r="D56" s="14"/>
      <c r="E56" s="32"/>
      <c r="F56" s="32"/>
      <c r="G56" s="21"/>
      <c r="H56" s="4"/>
      <c r="I56" s="4"/>
      <c r="J56" s="4"/>
      <c r="K56" s="4"/>
      <c r="L56" s="4"/>
      <c r="M56" s="4"/>
      <c r="N56" s="4"/>
      <c r="O56" s="4"/>
      <c r="P56" s="4"/>
      <c r="Q56" s="4"/>
      <c r="R56" s="7"/>
      <c r="S56" s="7"/>
      <c r="T56" s="4"/>
      <c r="U56" s="4"/>
      <c r="V56" s="4"/>
      <c r="W56" s="4"/>
      <c r="X56" s="4"/>
      <c r="Y56" s="4"/>
      <c r="Z56" s="4"/>
    </row>
    <row r="57" ht="12.75" customHeight="1">
      <c r="A57" s="14"/>
      <c r="B57" s="21"/>
      <c r="C57" s="21"/>
      <c r="D57" s="14"/>
      <c r="E57" s="32"/>
      <c r="F57" s="32"/>
      <c r="G57" s="21"/>
      <c r="H57" s="4"/>
      <c r="I57" s="4"/>
      <c r="J57" s="4"/>
      <c r="K57" s="4"/>
      <c r="L57" s="4"/>
      <c r="M57" s="4"/>
      <c r="N57" s="4"/>
      <c r="O57" s="4"/>
      <c r="P57" s="4"/>
      <c r="Q57" s="4"/>
      <c r="R57" s="7"/>
      <c r="S57" s="7"/>
      <c r="T57" s="4"/>
      <c r="U57" s="4"/>
      <c r="V57" s="4"/>
      <c r="W57" s="4"/>
      <c r="X57" s="4"/>
      <c r="Y57" s="4"/>
      <c r="Z57" s="4"/>
    </row>
    <row r="58" ht="12.75" customHeight="1">
      <c r="A58" s="14"/>
      <c r="B58" s="21"/>
      <c r="C58" s="21"/>
      <c r="D58" s="14"/>
      <c r="E58" s="32"/>
      <c r="F58" s="32"/>
      <c r="G58" s="21"/>
      <c r="H58" s="4"/>
      <c r="I58" s="4"/>
      <c r="J58" s="4"/>
      <c r="K58" s="4"/>
      <c r="L58" s="4"/>
      <c r="M58" s="4"/>
      <c r="N58" s="4"/>
      <c r="O58" s="4"/>
      <c r="P58" s="4"/>
      <c r="Q58" s="4"/>
      <c r="R58" s="7"/>
      <c r="S58" s="7"/>
      <c r="T58" s="4"/>
      <c r="U58" s="4"/>
      <c r="V58" s="4"/>
      <c r="W58" s="4"/>
      <c r="X58" s="4"/>
      <c r="Y58" s="4"/>
      <c r="Z58" s="4"/>
    </row>
    <row r="59" ht="12.75" customHeight="1">
      <c r="A59" s="14"/>
      <c r="B59" s="21"/>
      <c r="C59" s="21"/>
      <c r="D59" s="14"/>
      <c r="E59" s="32"/>
      <c r="F59" s="32"/>
      <c r="G59" s="21"/>
      <c r="H59" s="4"/>
      <c r="I59" s="4"/>
      <c r="J59" s="4"/>
      <c r="K59" s="4"/>
      <c r="L59" s="4"/>
      <c r="M59" s="4"/>
      <c r="N59" s="4"/>
      <c r="O59" s="4"/>
      <c r="P59" s="4"/>
      <c r="Q59" s="4"/>
      <c r="R59" s="7"/>
      <c r="S59" s="7"/>
      <c r="T59" s="4"/>
      <c r="U59" s="4"/>
      <c r="V59" s="4"/>
      <c r="W59" s="4"/>
      <c r="X59" s="4"/>
      <c r="Y59" s="4"/>
      <c r="Z59" s="4"/>
    </row>
    <row r="60" ht="12.75" customHeight="1">
      <c r="A60" s="14"/>
      <c r="B60" s="21"/>
      <c r="C60" s="21"/>
      <c r="D60" s="14"/>
      <c r="E60" s="32"/>
      <c r="F60" s="32"/>
      <c r="G60" s="21"/>
      <c r="H60" s="4"/>
      <c r="I60" s="4"/>
      <c r="J60" s="4"/>
      <c r="K60" s="4"/>
      <c r="L60" s="4"/>
      <c r="M60" s="4"/>
      <c r="N60" s="4"/>
      <c r="O60" s="4"/>
      <c r="P60" s="4"/>
      <c r="Q60" s="4"/>
      <c r="R60" s="7"/>
      <c r="S60" s="7"/>
      <c r="T60" s="4"/>
      <c r="U60" s="4"/>
      <c r="V60" s="4"/>
      <c r="W60" s="4"/>
      <c r="X60" s="4"/>
      <c r="Y60" s="4"/>
      <c r="Z60" s="4"/>
    </row>
    <row r="61" ht="12.75" customHeight="1">
      <c r="A61" s="14"/>
      <c r="B61" s="21"/>
      <c r="C61" s="21"/>
      <c r="D61" s="14"/>
      <c r="E61" s="32"/>
      <c r="F61" s="32"/>
      <c r="G61" s="21"/>
      <c r="H61" s="4"/>
      <c r="I61" s="4"/>
      <c r="J61" s="4"/>
      <c r="K61" s="4"/>
      <c r="L61" s="4"/>
      <c r="M61" s="4"/>
      <c r="N61" s="4"/>
      <c r="O61" s="4"/>
      <c r="P61" s="4"/>
      <c r="Q61" s="4"/>
      <c r="R61" s="7"/>
      <c r="S61" s="7"/>
      <c r="T61" s="4"/>
      <c r="U61" s="4"/>
      <c r="V61" s="4"/>
      <c r="W61" s="4"/>
      <c r="X61" s="4"/>
      <c r="Y61" s="4"/>
      <c r="Z61" s="4"/>
    </row>
    <row r="62" ht="12.75" customHeight="1">
      <c r="A62" s="14"/>
      <c r="B62" s="21"/>
      <c r="C62" s="21"/>
      <c r="D62" s="14"/>
      <c r="E62" s="32"/>
      <c r="F62" s="32"/>
      <c r="G62" s="21"/>
      <c r="H62" s="4"/>
      <c r="I62" s="4"/>
      <c r="J62" s="4"/>
      <c r="K62" s="4"/>
      <c r="L62" s="4"/>
      <c r="M62" s="4"/>
      <c r="N62" s="4"/>
      <c r="O62" s="4"/>
      <c r="P62" s="4"/>
      <c r="Q62" s="4"/>
      <c r="R62" s="7"/>
      <c r="S62" s="7"/>
      <c r="T62" s="4"/>
      <c r="U62" s="4"/>
      <c r="V62" s="4"/>
      <c r="W62" s="4"/>
      <c r="X62" s="4"/>
      <c r="Y62" s="4"/>
      <c r="Z62" s="4"/>
    </row>
    <row r="63" ht="12.75" customHeight="1">
      <c r="A63" s="14"/>
      <c r="B63" s="21"/>
      <c r="C63" s="21"/>
      <c r="D63" s="14"/>
      <c r="E63" s="32"/>
      <c r="F63" s="32"/>
      <c r="G63" s="21"/>
      <c r="H63" s="4"/>
      <c r="I63" s="4"/>
      <c r="J63" s="4"/>
      <c r="K63" s="4"/>
      <c r="L63" s="4"/>
      <c r="M63" s="4"/>
      <c r="N63" s="4"/>
      <c r="O63" s="4"/>
      <c r="P63" s="4"/>
      <c r="Q63" s="4"/>
      <c r="R63" s="7"/>
      <c r="S63" s="7"/>
      <c r="T63" s="4"/>
      <c r="U63" s="4"/>
      <c r="V63" s="4"/>
      <c r="W63" s="4"/>
      <c r="X63" s="4"/>
      <c r="Y63" s="4"/>
      <c r="Z63" s="4"/>
    </row>
    <row r="64" ht="12.75" customHeight="1">
      <c r="A64" s="14"/>
      <c r="B64" s="21"/>
      <c r="C64" s="21"/>
      <c r="D64" s="14"/>
      <c r="E64" s="32"/>
      <c r="F64" s="32"/>
      <c r="G64" s="21"/>
      <c r="H64" s="4"/>
      <c r="I64" s="4"/>
      <c r="J64" s="4"/>
      <c r="K64" s="4"/>
      <c r="L64" s="4"/>
      <c r="M64" s="4"/>
      <c r="N64" s="4"/>
      <c r="O64" s="4"/>
      <c r="P64" s="4"/>
      <c r="Q64" s="4"/>
      <c r="R64" s="7"/>
      <c r="S64" s="7"/>
      <c r="T64" s="4"/>
      <c r="U64" s="4"/>
      <c r="V64" s="4"/>
      <c r="W64" s="4"/>
      <c r="X64" s="4"/>
      <c r="Y64" s="4"/>
      <c r="Z64" s="4"/>
    </row>
    <row r="65" ht="12.75" customHeight="1">
      <c r="A65" s="14"/>
      <c r="B65" s="21"/>
      <c r="C65" s="21"/>
      <c r="D65" s="14"/>
      <c r="E65" s="32"/>
      <c r="F65" s="32"/>
      <c r="G65" s="21"/>
      <c r="H65" s="4"/>
      <c r="I65" s="4"/>
      <c r="J65" s="4"/>
      <c r="K65" s="4"/>
      <c r="L65" s="4"/>
      <c r="M65" s="4"/>
      <c r="N65" s="4"/>
      <c r="O65" s="4"/>
      <c r="P65" s="4"/>
      <c r="Q65" s="4"/>
      <c r="R65" s="7"/>
      <c r="S65" s="7"/>
      <c r="T65" s="4"/>
      <c r="U65" s="4"/>
      <c r="V65" s="4"/>
      <c r="W65" s="4"/>
      <c r="X65" s="4"/>
      <c r="Y65" s="4"/>
      <c r="Z65" s="4"/>
    </row>
    <row r="66" ht="12.75" customHeight="1">
      <c r="A66" s="14"/>
      <c r="B66" s="21"/>
      <c r="C66" s="21"/>
      <c r="D66" s="14"/>
      <c r="E66" s="32"/>
      <c r="F66" s="32"/>
      <c r="G66" s="21"/>
      <c r="H66" s="4"/>
      <c r="I66" s="4"/>
      <c r="J66" s="4"/>
      <c r="K66" s="4"/>
      <c r="L66" s="4"/>
      <c r="M66" s="4"/>
      <c r="N66" s="4"/>
      <c r="O66" s="4"/>
      <c r="P66" s="4"/>
      <c r="Q66" s="4"/>
      <c r="R66" s="7"/>
      <c r="S66" s="7"/>
      <c r="T66" s="4"/>
      <c r="U66" s="4"/>
      <c r="V66" s="4"/>
      <c r="W66" s="4"/>
      <c r="X66" s="4"/>
      <c r="Y66" s="4"/>
      <c r="Z66" s="4"/>
    </row>
    <row r="67" ht="12.75" customHeight="1">
      <c r="A67" s="14"/>
      <c r="B67" s="21"/>
      <c r="C67" s="21"/>
      <c r="D67" s="14"/>
      <c r="E67" s="32"/>
      <c r="F67" s="32"/>
      <c r="G67" s="21"/>
      <c r="H67" s="4"/>
      <c r="I67" s="4"/>
      <c r="J67" s="4"/>
      <c r="K67" s="4"/>
      <c r="L67" s="4"/>
      <c r="M67" s="4"/>
      <c r="N67" s="4"/>
      <c r="O67" s="4"/>
      <c r="P67" s="4"/>
      <c r="Q67" s="4"/>
      <c r="R67" s="7"/>
      <c r="S67" s="7"/>
      <c r="T67" s="4"/>
      <c r="U67" s="4"/>
      <c r="V67" s="4"/>
      <c r="W67" s="4"/>
      <c r="X67" s="4"/>
      <c r="Y67" s="4"/>
      <c r="Z67" s="4"/>
    </row>
    <row r="68" ht="12.75" customHeight="1">
      <c r="A68" s="14"/>
      <c r="B68" s="21"/>
      <c r="C68" s="21"/>
      <c r="D68" s="14"/>
      <c r="E68" s="32"/>
      <c r="F68" s="32"/>
      <c r="G68" s="21"/>
      <c r="H68" s="4"/>
      <c r="I68" s="4"/>
      <c r="J68" s="4"/>
      <c r="K68" s="4"/>
      <c r="L68" s="4"/>
      <c r="M68" s="4"/>
      <c r="N68" s="4"/>
      <c r="O68" s="4"/>
      <c r="P68" s="4"/>
      <c r="Q68" s="4"/>
      <c r="R68" s="7"/>
      <c r="S68" s="7"/>
      <c r="T68" s="4"/>
      <c r="U68" s="4"/>
      <c r="V68" s="4"/>
      <c r="W68" s="4"/>
      <c r="X68" s="4"/>
      <c r="Y68" s="4"/>
      <c r="Z68" s="4"/>
    </row>
    <row r="69" ht="12.75" customHeight="1">
      <c r="A69" s="14"/>
      <c r="B69" s="21"/>
      <c r="C69" s="21"/>
      <c r="D69" s="14"/>
      <c r="E69" s="32"/>
      <c r="F69" s="32"/>
      <c r="G69" s="21"/>
      <c r="H69" s="4"/>
      <c r="I69" s="4"/>
      <c r="J69" s="4"/>
      <c r="K69" s="4"/>
      <c r="L69" s="4"/>
      <c r="M69" s="4"/>
      <c r="N69" s="4"/>
      <c r="O69" s="4"/>
      <c r="P69" s="4"/>
      <c r="Q69" s="4"/>
      <c r="R69" s="7"/>
      <c r="S69" s="7"/>
      <c r="T69" s="4"/>
      <c r="U69" s="4"/>
      <c r="V69" s="4"/>
      <c r="W69" s="4"/>
      <c r="X69" s="4"/>
      <c r="Y69" s="4"/>
      <c r="Z69" s="4"/>
    </row>
    <row r="70" ht="12.75" customHeight="1">
      <c r="A70" s="14"/>
      <c r="B70" s="21"/>
      <c r="C70" s="21"/>
      <c r="D70" s="14"/>
      <c r="E70" s="32"/>
      <c r="F70" s="32"/>
      <c r="G70" s="21"/>
      <c r="H70" s="4"/>
      <c r="I70" s="4"/>
      <c r="J70" s="4"/>
      <c r="K70" s="4"/>
      <c r="L70" s="4"/>
      <c r="M70" s="4"/>
      <c r="N70" s="4"/>
      <c r="O70" s="4"/>
      <c r="P70" s="4"/>
      <c r="Q70" s="4"/>
      <c r="R70" s="7"/>
      <c r="S70" s="7"/>
      <c r="T70" s="4"/>
      <c r="U70" s="4"/>
      <c r="V70" s="4"/>
      <c r="W70" s="4"/>
      <c r="X70" s="4"/>
      <c r="Y70" s="4"/>
      <c r="Z70" s="4"/>
    </row>
    <row r="71" ht="12.75" customHeight="1">
      <c r="A71" s="14"/>
      <c r="B71" s="21"/>
      <c r="C71" s="21"/>
      <c r="D71" s="14"/>
      <c r="E71" s="32"/>
      <c r="F71" s="32"/>
      <c r="G71" s="21"/>
      <c r="H71" s="4"/>
      <c r="I71" s="4"/>
      <c r="J71" s="4"/>
      <c r="K71" s="4"/>
      <c r="L71" s="4"/>
      <c r="M71" s="4"/>
      <c r="N71" s="4"/>
      <c r="O71" s="4"/>
      <c r="P71" s="4"/>
      <c r="Q71" s="4"/>
      <c r="R71" s="7"/>
      <c r="S71" s="7"/>
      <c r="T71" s="4"/>
      <c r="U71" s="4"/>
      <c r="V71" s="4"/>
      <c r="W71" s="4"/>
      <c r="X71" s="4"/>
      <c r="Y71" s="4"/>
      <c r="Z71" s="4"/>
    </row>
    <row r="72" ht="12.75" customHeight="1">
      <c r="A72" s="14"/>
      <c r="B72" s="21"/>
      <c r="C72" s="21"/>
      <c r="D72" s="14"/>
      <c r="E72" s="32"/>
      <c r="F72" s="32"/>
      <c r="G72" s="21"/>
      <c r="H72" s="4"/>
      <c r="I72" s="4"/>
      <c r="J72" s="4"/>
      <c r="K72" s="4"/>
      <c r="L72" s="4"/>
      <c r="M72" s="4"/>
      <c r="N72" s="4"/>
      <c r="O72" s="4"/>
      <c r="P72" s="4"/>
      <c r="Q72" s="4"/>
      <c r="R72" s="7"/>
      <c r="S72" s="7"/>
      <c r="T72" s="4"/>
      <c r="U72" s="4"/>
      <c r="V72" s="4"/>
      <c r="W72" s="4"/>
      <c r="X72" s="4"/>
      <c r="Y72" s="4"/>
      <c r="Z72" s="4"/>
    </row>
    <row r="73" ht="12.75" customHeight="1">
      <c r="A73" s="14"/>
      <c r="B73" s="21"/>
      <c r="C73" s="21"/>
      <c r="D73" s="14"/>
      <c r="E73" s="32"/>
      <c r="F73" s="32"/>
      <c r="G73" s="21"/>
      <c r="H73" s="4"/>
      <c r="I73" s="4"/>
      <c r="J73" s="4"/>
      <c r="K73" s="4"/>
      <c r="L73" s="4"/>
      <c r="M73" s="4"/>
      <c r="N73" s="4"/>
      <c r="O73" s="4"/>
      <c r="P73" s="4"/>
      <c r="Q73" s="4"/>
      <c r="R73" s="7"/>
      <c r="S73" s="7"/>
      <c r="T73" s="4"/>
      <c r="U73" s="4"/>
      <c r="V73" s="4"/>
      <c r="W73" s="4"/>
      <c r="X73" s="4"/>
      <c r="Y73" s="4"/>
      <c r="Z73" s="4"/>
    </row>
    <row r="74" ht="12.75" customHeight="1">
      <c r="A74" s="14"/>
      <c r="B74" s="21"/>
      <c r="C74" s="21"/>
      <c r="D74" s="14"/>
      <c r="E74" s="32"/>
      <c r="F74" s="32"/>
      <c r="G74" s="21"/>
      <c r="H74" s="4"/>
      <c r="I74" s="4"/>
      <c r="J74" s="4"/>
      <c r="K74" s="4"/>
      <c r="L74" s="4"/>
      <c r="M74" s="4"/>
      <c r="N74" s="4"/>
      <c r="O74" s="4"/>
      <c r="P74" s="4"/>
      <c r="Q74" s="4"/>
      <c r="R74" s="7"/>
      <c r="S74" s="7"/>
      <c r="T74" s="4"/>
      <c r="U74" s="4"/>
      <c r="V74" s="4"/>
      <c r="W74" s="4"/>
      <c r="X74" s="4"/>
      <c r="Y74" s="4"/>
      <c r="Z74" s="4"/>
    </row>
    <row r="75" ht="12.75" customHeight="1">
      <c r="A75" s="14"/>
      <c r="B75" s="21"/>
      <c r="C75" s="21"/>
      <c r="D75" s="14"/>
      <c r="E75" s="32"/>
      <c r="F75" s="32"/>
      <c r="G75" s="21"/>
      <c r="H75" s="4"/>
      <c r="I75" s="4"/>
      <c r="J75" s="4"/>
      <c r="K75" s="4"/>
      <c r="L75" s="4"/>
      <c r="M75" s="4"/>
      <c r="N75" s="4"/>
      <c r="O75" s="4"/>
      <c r="P75" s="4"/>
      <c r="Q75" s="4"/>
      <c r="R75" s="7"/>
      <c r="S75" s="7"/>
      <c r="T75" s="4"/>
      <c r="U75" s="4"/>
      <c r="V75" s="4"/>
      <c r="W75" s="4"/>
      <c r="X75" s="4"/>
      <c r="Y75" s="4"/>
      <c r="Z75" s="4"/>
    </row>
    <row r="76" ht="12.75" customHeight="1">
      <c r="A76" s="14"/>
      <c r="B76" s="21"/>
      <c r="C76" s="21"/>
      <c r="D76" s="14"/>
      <c r="E76" s="32"/>
      <c r="F76" s="32"/>
      <c r="G76" s="21"/>
      <c r="H76" s="4"/>
      <c r="I76" s="4"/>
      <c r="J76" s="4"/>
      <c r="K76" s="4"/>
      <c r="L76" s="4"/>
      <c r="M76" s="4"/>
      <c r="N76" s="4"/>
      <c r="O76" s="4"/>
      <c r="P76" s="4"/>
      <c r="Q76" s="4"/>
      <c r="R76" s="7"/>
      <c r="S76" s="7"/>
      <c r="T76" s="4"/>
      <c r="U76" s="4"/>
      <c r="V76" s="4"/>
      <c r="W76" s="4"/>
      <c r="X76" s="4"/>
      <c r="Y76" s="4"/>
      <c r="Z76" s="4"/>
    </row>
    <row r="77" ht="12.75" customHeight="1">
      <c r="A77" s="14"/>
      <c r="B77" s="21"/>
      <c r="C77" s="21"/>
      <c r="D77" s="14"/>
      <c r="E77" s="32"/>
      <c r="F77" s="32"/>
      <c r="G77" s="21"/>
      <c r="H77" s="4"/>
      <c r="I77" s="4"/>
      <c r="J77" s="4"/>
      <c r="K77" s="4"/>
      <c r="L77" s="4"/>
      <c r="M77" s="4"/>
      <c r="N77" s="4"/>
      <c r="O77" s="4"/>
      <c r="P77" s="4"/>
      <c r="Q77" s="4"/>
      <c r="R77" s="7"/>
      <c r="S77" s="7"/>
      <c r="T77" s="4"/>
      <c r="U77" s="4"/>
      <c r="V77" s="4"/>
      <c r="W77" s="4"/>
      <c r="X77" s="4"/>
      <c r="Y77" s="4"/>
      <c r="Z77" s="4"/>
    </row>
    <row r="78" ht="12.75" customHeight="1">
      <c r="A78" s="14"/>
      <c r="B78" s="21"/>
      <c r="C78" s="21"/>
      <c r="D78" s="14"/>
      <c r="E78" s="32"/>
      <c r="F78" s="32"/>
      <c r="G78" s="21"/>
      <c r="H78" s="4"/>
      <c r="I78" s="4"/>
      <c r="J78" s="4"/>
      <c r="K78" s="4"/>
      <c r="L78" s="4"/>
      <c r="M78" s="4"/>
      <c r="N78" s="4"/>
      <c r="O78" s="4"/>
      <c r="P78" s="4"/>
      <c r="Q78" s="4"/>
      <c r="R78" s="7"/>
      <c r="S78" s="7"/>
      <c r="T78" s="4"/>
      <c r="U78" s="4"/>
      <c r="V78" s="4"/>
      <c r="W78" s="4"/>
      <c r="X78" s="4"/>
      <c r="Y78" s="4"/>
      <c r="Z78" s="4"/>
    </row>
    <row r="79" ht="12.75" customHeight="1">
      <c r="A79" s="14"/>
      <c r="B79" s="21"/>
      <c r="C79" s="21"/>
      <c r="D79" s="14"/>
      <c r="E79" s="32"/>
      <c r="F79" s="32"/>
      <c r="G79" s="21"/>
      <c r="H79" s="4"/>
      <c r="I79" s="4"/>
      <c r="J79" s="4"/>
      <c r="K79" s="4"/>
      <c r="L79" s="4"/>
      <c r="M79" s="4"/>
      <c r="N79" s="4"/>
      <c r="O79" s="4"/>
      <c r="P79" s="4"/>
      <c r="Q79" s="4"/>
      <c r="R79" s="7"/>
      <c r="S79" s="7"/>
      <c r="T79" s="4"/>
      <c r="U79" s="4"/>
      <c r="V79" s="4"/>
      <c r="W79" s="4"/>
      <c r="X79" s="4"/>
      <c r="Y79" s="4"/>
      <c r="Z79" s="4"/>
    </row>
    <row r="80" ht="12.75" customHeight="1">
      <c r="A80" s="14"/>
      <c r="B80" s="21"/>
      <c r="C80" s="21"/>
      <c r="D80" s="14"/>
      <c r="E80" s="32"/>
      <c r="F80" s="32"/>
      <c r="G80" s="21"/>
      <c r="H80" s="4"/>
      <c r="I80" s="4"/>
      <c r="J80" s="4"/>
      <c r="K80" s="4"/>
      <c r="L80" s="4"/>
      <c r="M80" s="4"/>
      <c r="N80" s="4"/>
      <c r="O80" s="4"/>
      <c r="P80" s="4"/>
      <c r="Q80" s="4"/>
      <c r="R80" s="7"/>
      <c r="S80" s="7"/>
      <c r="T80" s="4"/>
      <c r="U80" s="4"/>
      <c r="V80" s="4"/>
      <c r="W80" s="4"/>
      <c r="X80" s="4"/>
      <c r="Y80" s="4"/>
      <c r="Z80" s="4"/>
    </row>
    <row r="81" ht="12.75" customHeight="1">
      <c r="A81" s="14"/>
      <c r="B81" s="21"/>
      <c r="C81" s="21"/>
      <c r="D81" s="14"/>
      <c r="E81" s="32"/>
      <c r="F81" s="32"/>
      <c r="G81" s="21"/>
      <c r="H81" s="4"/>
      <c r="I81" s="4"/>
      <c r="J81" s="4"/>
      <c r="K81" s="4"/>
      <c r="L81" s="4"/>
      <c r="M81" s="4"/>
      <c r="N81" s="4"/>
      <c r="O81" s="4"/>
      <c r="P81" s="4"/>
      <c r="Q81" s="4"/>
      <c r="R81" s="7"/>
      <c r="S81" s="7"/>
      <c r="T81" s="4"/>
      <c r="U81" s="4"/>
      <c r="V81" s="4"/>
      <c r="W81" s="4"/>
      <c r="X81" s="4"/>
      <c r="Y81" s="4"/>
      <c r="Z81" s="4"/>
    </row>
    <row r="82" ht="12.75" customHeight="1">
      <c r="A82" s="14"/>
      <c r="B82" s="21"/>
      <c r="C82" s="21"/>
      <c r="D82" s="14"/>
      <c r="E82" s="32"/>
      <c r="F82" s="32"/>
      <c r="G82" s="21"/>
      <c r="H82" s="4"/>
      <c r="I82" s="4"/>
      <c r="J82" s="4"/>
      <c r="K82" s="4"/>
      <c r="L82" s="4"/>
      <c r="M82" s="4"/>
      <c r="N82" s="4"/>
      <c r="O82" s="4"/>
      <c r="P82" s="4"/>
      <c r="Q82" s="4"/>
      <c r="R82" s="7"/>
      <c r="S82" s="7"/>
      <c r="T82" s="4"/>
      <c r="U82" s="4"/>
      <c r="V82" s="4"/>
      <c r="W82" s="4"/>
      <c r="X82" s="4"/>
      <c r="Y82" s="4"/>
      <c r="Z82" s="4"/>
    </row>
    <row r="83" ht="12.75" customHeight="1">
      <c r="A83" s="14"/>
      <c r="B83" s="21"/>
      <c r="C83" s="21"/>
      <c r="D83" s="14"/>
      <c r="E83" s="32"/>
      <c r="F83" s="32"/>
      <c r="G83" s="21"/>
      <c r="H83" s="4"/>
      <c r="I83" s="4"/>
      <c r="J83" s="4"/>
      <c r="K83" s="4"/>
      <c r="L83" s="4"/>
      <c r="M83" s="4"/>
      <c r="N83" s="4"/>
      <c r="O83" s="4"/>
      <c r="P83" s="4"/>
      <c r="Q83" s="4"/>
      <c r="R83" s="7"/>
      <c r="S83" s="7"/>
      <c r="T83" s="4"/>
      <c r="U83" s="4"/>
      <c r="V83" s="4"/>
      <c r="W83" s="4"/>
      <c r="X83" s="4"/>
      <c r="Y83" s="4"/>
      <c r="Z83" s="4"/>
    </row>
    <row r="84" ht="12.75" customHeight="1">
      <c r="A84" s="14"/>
      <c r="B84" s="21"/>
      <c r="C84" s="21"/>
      <c r="D84" s="14"/>
      <c r="E84" s="32"/>
      <c r="F84" s="32"/>
      <c r="G84" s="21"/>
      <c r="H84" s="4"/>
      <c r="I84" s="4"/>
      <c r="J84" s="4"/>
      <c r="K84" s="4"/>
      <c r="L84" s="4"/>
      <c r="M84" s="4"/>
      <c r="N84" s="4"/>
      <c r="O84" s="4"/>
      <c r="P84" s="4"/>
      <c r="Q84" s="4"/>
      <c r="R84" s="7"/>
      <c r="S84" s="7"/>
      <c r="T84" s="4"/>
      <c r="U84" s="4"/>
      <c r="V84" s="4"/>
      <c r="W84" s="4"/>
      <c r="X84" s="4"/>
      <c r="Y84" s="4"/>
      <c r="Z84" s="4"/>
    </row>
    <row r="85" ht="12.75" customHeight="1">
      <c r="A85" s="14"/>
      <c r="B85" s="21"/>
      <c r="C85" s="21"/>
      <c r="D85" s="14"/>
      <c r="E85" s="32"/>
      <c r="F85" s="32"/>
      <c r="G85" s="21"/>
      <c r="H85" s="4"/>
      <c r="I85" s="4"/>
      <c r="J85" s="4"/>
      <c r="K85" s="4"/>
      <c r="L85" s="4"/>
      <c r="M85" s="4"/>
      <c r="N85" s="4"/>
      <c r="O85" s="4"/>
      <c r="P85" s="4"/>
      <c r="Q85" s="4"/>
      <c r="R85" s="7"/>
      <c r="S85" s="7"/>
      <c r="T85" s="4"/>
      <c r="U85" s="4"/>
      <c r="V85" s="4"/>
      <c r="W85" s="4"/>
      <c r="X85" s="4"/>
      <c r="Y85" s="4"/>
      <c r="Z85" s="4"/>
    </row>
    <row r="86" ht="12.75" customHeight="1">
      <c r="A86" s="14"/>
      <c r="B86" s="21"/>
      <c r="C86" s="21"/>
      <c r="D86" s="14"/>
      <c r="E86" s="32"/>
      <c r="F86" s="32"/>
      <c r="G86" s="21"/>
      <c r="H86" s="4"/>
      <c r="I86" s="4"/>
      <c r="J86" s="4"/>
      <c r="K86" s="4"/>
      <c r="L86" s="4"/>
      <c r="M86" s="4"/>
      <c r="N86" s="4"/>
      <c r="O86" s="4"/>
      <c r="P86" s="4"/>
      <c r="Q86" s="4"/>
      <c r="R86" s="7"/>
      <c r="S86" s="7"/>
      <c r="T86" s="4"/>
      <c r="U86" s="4"/>
      <c r="V86" s="4"/>
      <c r="W86" s="4"/>
      <c r="X86" s="4"/>
      <c r="Y86" s="4"/>
      <c r="Z86" s="4"/>
    </row>
    <row r="87" ht="12.75" customHeight="1">
      <c r="A87" s="14"/>
      <c r="B87" s="21"/>
      <c r="C87" s="21"/>
      <c r="D87" s="14"/>
      <c r="E87" s="32"/>
      <c r="F87" s="32"/>
      <c r="G87" s="21"/>
      <c r="H87" s="4"/>
      <c r="I87" s="4"/>
      <c r="J87" s="4"/>
      <c r="K87" s="4"/>
      <c r="L87" s="4"/>
      <c r="M87" s="4"/>
      <c r="N87" s="4"/>
      <c r="O87" s="4"/>
      <c r="P87" s="4"/>
      <c r="Q87" s="4"/>
      <c r="R87" s="7"/>
      <c r="S87" s="7"/>
      <c r="T87" s="4"/>
      <c r="U87" s="4"/>
      <c r="V87" s="4"/>
      <c r="W87" s="4"/>
      <c r="X87" s="4"/>
      <c r="Y87" s="4"/>
      <c r="Z87" s="4"/>
    </row>
    <row r="88" ht="12.75" customHeight="1">
      <c r="A88" s="14"/>
      <c r="B88" s="21"/>
      <c r="C88" s="21"/>
      <c r="D88" s="14"/>
      <c r="E88" s="32"/>
      <c r="F88" s="32"/>
      <c r="G88" s="21"/>
      <c r="H88" s="4"/>
      <c r="I88" s="4"/>
      <c r="J88" s="4"/>
      <c r="K88" s="4"/>
      <c r="L88" s="4"/>
      <c r="M88" s="4"/>
      <c r="N88" s="4"/>
      <c r="O88" s="4"/>
      <c r="P88" s="4"/>
      <c r="Q88" s="4"/>
      <c r="R88" s="7"/>
      <c r="S88" s="7"/>
      <c r="T88" s="4"/>
      <c r="U88" s="4"/>
      <c r="V88" s="4"/>
      <c r="W88" s="4"/>
      <c r="X88" s="4"/>
      <c r="Y88" s="4"/>
      <c r="Z88" s="4"/>
    </row>
    <row r="89" ht="12.75" customHeight="1">
      <c r="A89" s="14"/>
      <c r="B89" s="21"/>
      <c r="C89" s="21"/>
      <c r="D89" s="14"/>
      <c r="E89" s="32"/>
      <c r="F89" s="32"/>
      <c r="G89" s="21"/>
      <c r="H89" s="4"/>
      <c r="I89" s="4"/>
      <c r="J89" s="4"/>
      <c r="K89" s="4"/>
      <c r="L89" s="4"/>
      <c r="M89" s="4"/>
      <c r="N89" s="4"/>
      <c r="O89" s="4"/>
      <c r="P89" s="4"/>
      <c r="Q89" s="4"/>
      <c r="R89" s="7"/>
      <c r="S89" s="7"/>
      <c r="T89" s="4"/>
      <c r="U89" s="4"/>
      <c r="V89" s="4"/>
      <c r="W89" s="4"/>
      <c r="X89" s="4"/>
      <c r="Y89" s="4"/>
      <c r="Z89" s="4"/>
    </row>
    <row r="90" ht="12.75" customHeight="1">
      <c r="A90" s="14"/>
      <c r="B90" s="21"/>
      <c r="C90" s="21"/>
      <c r="D90" s="14"/>
      <c r="E90" s="32"/>
      <c r="F90" s="32"/>
      <c r="G90" s="21"/>
      <c r="H90" s="4"/>
      <c r="I90" s="4"/>
      <c r="J90" s="4"/>
      <c r="K90" s="4"/>
      <c r="L90" s="4"/>
      <c r="M90" s="4"/>
      <c r="N90" s="4"/>
      <c r="O90" s="4"/>
      <c r="P90" s="4"/>
      <c r="Q90" s="4"/>
      <c r="R90" s="7"/>
      <c r="S90" s="7"/>
      <c r="T90" s="4"/>
      <c r="U90" s="4"/>
      <c r="V90" s="4"/>
      <c r="W90" s="4"/>
      <c r="X90" s="4"/>
      <c r="Y90" s="4"/>
      <c r="Z90" s="4"/>
    </row>
    <row r="91" ht="12.75" customHeight="1">
      <c r="A91" s="14"/>
      <c r="B91" s="21"/>
      <c r="C91" s="21"/>
      <c r="D91" s="14"/>
      <c r="E91" s="32"/>
      <c r="F91" s="32"/>
      <c r="G91" s="21"/>
      <c r="H91" s="4"/>
      <c r="I91" s="4"/>
      <c r="J91" s="4"/>
      <c r="K91" s="4"/>
      <c r="L91" s="4"/>
      <c r="M91" s="4"/>
      <c r="N91" s="4"/>
      <c r="O91" s="4"/>
      <c r="P91" s="4"/>
      <c r="Q91" s="4"/>
      <c r="R91" s="7"/>
      <c r="S91" s="7"/>
      <c r="T91" s="4"/>
      <c r="U91" s="4"/>
      <c r="V91" s="4"/>
      <c r="W91" s="4"/>
      <c r="X91" s="4"/>
      <c r="Y91" s="4"/>
      <c r="Z91" s="4"/>
    </row>
    <row r="92" ht="12.75" customHeight="1">
      <c r="A92" s="14"/>
      <c r="B92" s="21"/>
      <c r="C92" s="21"/>
      <c r="D92" s="14"/>
      <c r="E92" s="32"/>
      <c r="F92" s="32"/>
      <c r="G92" s="21"/>
      <c r="H92" s="4"/>
      <c r="I92" s="4"/>
      <c r="J92" s="4"/>
      <c r="K92" s="4"/>
      <c r="L92" s="4"/>
      <c r="M92" s="4"/>
      <c r="N92" s="4"/>
      <c r="O92" s="4"/>
      <c r="P92" s="4"/>
      <c r="Q92" s="4"/>
      <c r="R92" s="7"/>
      <c r="S92" s="7"/>
      <c r="T92" s="4"/>
      <c r="U92" s="4"/>
      <c r="V92" s="4"/>
      <c r="W92" s="4"/>
      <c r="X92" s="4"/>
      <c r="Y92" s="4"/>
      <c r="Z92" s="4"/>
    </row>
    <row r="93" ht="12.75" customHeight="1">
      <c r="A93" s="14"/>
      <c r="B93" s="21"/>
      <c r="C93" s="21"/>
      <c r="D93" s="14"/>
      <c r="E93" s="32"/>
      <c r="F93" s="32"/>
      <c r="G93" s="21"/>
      <c r="H93" s="4"/>
      <c r="I93" s="4"/>
      <c r="J93" s="4"/>
      <c r="K93" s="4"/>
      <c r="L93" s="4"/>
      <c r="M93" s="4"/>
      <c r="N93" s="4"/>
      <c r="O93" s="4"/>
      <c r="P93" s="4"/>
      <c r="Q93" s="4"/>
      <c r="R93" s="7"/>
      <c r="S93" s="7"/>
      <c r="T93" s="4"/>
      <c r="U93" s="4"/>
      <c r="V93" s="4"/>
      <c r="W93" s="4"/>
      <c r="X93" s="4"/>
      <c r="Y93" s="4"/>
      <c r="Z93" s="4"/>
    </row>
    <row r="94" ht="12.75" customHeight="1">
      <c r="A94" s="14"/>
      <c r="B94" s="21"/>
      <c r="C94" s="21"/>
      <c r="D94" s="14"/>
      <c r="E94" s="32"/>
      <c r="F94" s="32"/>
      <c r="G94" s="21"/>
      <c r="H94" s="4"/>
      <c r="I94" s="4"/>
      <c r="J94" s="4"/>
      <c r="K94" s="4"/>
      <c r="L94" s="4"/>
      <c r="M94" s="4"/>
      <c r="N94" s="4"/>
      <c r="O94" s="4"/>
      <c r="P94" s="4"/>
      <c r="Q94" s="4"/>
      <c r="R94" s="7"/>
      <c r="S94" s="7"/>
      <c r="T94" s="4"/>
      <c r="U94" s="4"/>
      <c r="V94" s="4"/>
      <c r="W94" s="4"/>
      <c r="X94" s="4"/>
      <c r="Y94" s="4"/>
      <c r="Z94" s="4"/>
    </row>
    <row r="95" ht="12.75" customHeight="1">
      <c r="A95" s="14"/>
      <c r="B95" s="21"/>
      <c r="C95" s="21"/>
      <c r="D95" s="14"/>
      <c r="E95" s="32"/>
      <c r="F95" s="32"/>
      <c r="G95" s="21"/>
      <c r="H95" s="4"/>
      <c r="I95" s="4"/>
      <c r="J95" s="4"/>
      <c r="K95" s="4"/>
      <c r="L95" s="4"/>
      <c r="M95" s="4"/>
      <c r="N95" s="4"/>
      <c r="O95" s="4"/>
      <c r="P95" s="4"/>
      <c r="Q95" s="4"/>
      <c r="R95" s="7"/>
      <c r="S95" s="7"/>
      <c r="T95" s="4"/>
      <c r="U95" s="4"/>
      <c r="V95" s="4"/>
      <c r="W95" s="4"/>
      <c r="X95" s="4"/>
      <c r="Y95" s="4"/>
      <c r="Z95" s="4"/>
    </row>
    <row r="96" ht="12.75" customHeight="1">
      <c r="A96" s="14"/>
      <c r="B96" s="21"/>
      <c r="C96" s="21"/>
      <c r="D96" s="14"/>
      <c r="E96" s="32"/>
      <c r="F96" s="32"/>
      <c r="G96" s="21"/>
      <c r="H96" s="4"/>
      <c r="I96" s="4"/>
      <c r="J96" s="4"/>
      <c r="K96" s="4"/>
      <c r="L96" s="4"/>
      <c r="M96" s="4"/>
      <c r="N96" s="4"/>
      <c r="O96" s="4"/>
      <c r="P96" s="4"/>
      <c r="Q96" s="4"/>
      <c r="R96" s="7"/>
      <c r="S96" s="7"/>
      <c r="T96" s="4"/>
      <c r="U96" s="4"/>
      <c r="V96" s="4"/>
      <c r="W96" s="4"/>
      <c r="X96" s="4"/>
      <c r="Y96" s="4"/>
      <c r="Z96" s="4"/>
    </row>
    <row r="97" ht="12.75" customHeight="1">
      <c r="A97" s="14"/>
      <c r="B97" s="21"/>
      <c r="C97" s="21"/>
      <c r="D97" s="14"/>
      <c r="E97" s="32"/>
      <c r="F97" s="32"/>
      <c r="G97" s="21"/>
      <c r="H97" s="4"/>
      <c r="I97" s="4"/>
      <c r="J97" s="4"/>
      <c r="K97" s="4"/>
      <c r="L97" s="4"/>
      <c r="M97" s="4"/>
      <c r="N97" s="4"/>
      <c r="O97" s="4"/>
      <c r="P97" s="4"/>
      <c r="Q97" s="4"/>
      <c r="R97" s="7"/>
      <c r="S97" s="7"/>
      <c r="T97" s="4"/>
      <c r="U97" s="4"/>
      <c r="V97" s="4"/>
      <c r="W97" s="4"/>
      <c r="X97" s="4"/>
      <c r="Y97" s="4"/>
      <c r="Z97" s="4"/>
    </row>
    <row r="98" ht="12.75" customHeight="1">
      <c r="A98" s="14"/>
      <c r="B98" s="21"/>
      <c r="C98" s="21"/>
      <c r="D98" s="14"/>
      <c r="E98" s="32"/>
      <c r="F98" s="32"/>
      <c r="G98" s="21"/>
      <c r="H98" s="4"/>
      <c r="I98" s="4"/>
      <c r="J98" s="4"/>
      <c r="K98" s="4"/>
      <c r="L98" s="4"/>
      <c r="M98" s="4"/>
      <c r="N98" s="4"/>
      <c r="O98" s="4"/>
      <c r="P98" s="4"/>
      <c r="Q98" s="4"/>
      <c r="R98" s="7"/>
      <c r="S98" s="7"/>
      <c r="T98" s="4"/>
      <c r="U98" s="4"/>
      <c r="V98" s="4"/>
      <c r="W98" s="4"/>
      <c r="X98" s="4"/>
      <c r="Y98" s="4"/>
      <c r="Z98" s="4"/>
    </row>
    <row r="99" ht="12.75" customHeight="1">
      <c r="A99" s="14"/>
      <c r="B99" s="21"/>
      <c r="C99" s="21"/>
      <c r="D99" s="14"/>
      <c r="E99" s="32"/>
      <c r="F99" s="32"/>
      <c r="G99" s="21"/>
      <c r="H99" s="4"/>
      <c r="I99" s="4"/>
      <c r="J99" s="4"/>
      <c r="K99" s="4"/>
      <c r="L99" s="4"/>
      <c r="M99" s="4"/>
      <c r="N99" s="4"/>
      <c r="O99" s="4"/>
      <c r="P99" s="4"/>
      <c r="Q99" s="4"/>
      <c r="R99" s="7"/>
      <c r="S99" s="7"/>
      <c r="T99" s="4"/>
      <c r="U99" s="4"/>
      <c r="V99" s="4"/>
      <c r="W99" s="4"/>
      <c r="X99" s="4"/>
      <c r="Y99" s="4"/>
      <c r="Z99" s="4"/>
    </row>
    <row r="100" ht="12.75" customHeight="1">
      <c r="A100" s="14"/>
      <c r="B100" s="21"/>
      <c r="C100" s="21"/>
      <c r="D100" s="14"/>
      <c r="E100" s="32"/>
      <c r="F100" s="32"/>
      <c r="G100" s="2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7"/>
      <c r="S100" s="7"/>
      <c r="T100" s="4"/>
      <c r="U100" s="4"/>
      <c r="V100" s="4"/>
      <c r="W100" s="4"/>
      <c r="X100" s="4"/>
      <c r="Y100" s="4"/>
      <c r="Z100" s="4"/>
    </row>
    <row r="101" ht="12.75" customHeight="1">
      <c r="A101" s="14"/>
      <c r="B101" s="21"/>
      <c r="C101" s="21"/>
      <c r="D101" s="14"/>
      <c r="E101" s="32"/>
      <c r="F101" s="32"/>
      <c r="G101" s="2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7"/>
      <c r="S101" s="7"/>
      <c r="T101" s="4"/>
      <c r="U101" s="4"/>
      <c r="V101" s="4"/>
      <c r="W101" s="4"/>
      <c r="X101" s="4"/>
      <c r="Y101" s="4"/>
      <c r="Z101" s="4"/>
    </row>
    <row r="102" ht="12.75" customHeight="1">
      <c r="A102" s="14"/>
      <c r="B102" s="21"/>
      <c r="C102" s="21"/>
      <c r="D102" s="14"/>
      <c r="E102" s="32"/>
      <c r="F102" s="32"/>
      <c r="G102" s="2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7"/>
      <c r="S102" s="7"/>
      <c r="T102" s="4"/>
      <c r="U102" s="4"/>
      <c r="V102" s="4"/>
      <c r="W102" s="4"/>
      <c r="X102" s="4"/>
      <c r="Y102" s="4"/>
      <c r="Z102" s="4"/>
    </row>
    <row r="103" ht="12.75" customHeight="1">
      <c r="A103" s="14"/>
      <c r="B103" s="21"/>
      <c r="C103" s="21"/>
      <c r="D103" s="14"/>
      <c r="E103" s="32"/>
      <c r="F103" s="32"/>
      <c r="G103" s="2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7"/>
      <c r="S103" s="7"/>
      <c r="T103" s="4"/>
      <c r="U103" s="4"/>
      <c r="V103" s="4"/>
      <c r="W103" s="4"/>
      <c r="X103" s="4"/>
      <c r="Y103" s="4"/>
      <c r="Z103" s="4"/>
    </row>
    <row r="104" ht="12.75" customHeight="1">
      <c r="A104" s="14"/>
      <c r="B104" s="21"/>
      <c r="C104" s="21"/>
      <c r="D104" s="14"/>
      <c r="E104" s="32"/>
      <c r="F104" s="32"/>
      <c r="G104" s="2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7"/>
      <c r="S104" s="7"/>
      <c r="T104" s="4"/>
      <c r="U104" s="4"/>
      <c r="V104" s="4"/>
      <c r="W104" s="4"/>
      <c r="X104" s="4"/>
      <c r="Y104" s="4"/>
      <c r="Z104" s="4"/>
    </row>
    <row r="105" ht="12.75" customHeight="1">
      <c r="A105" s="14"/>
      <c r="B105" s="21"/>
      <c r="C105" s="21"/>
      <c r="D105" s="14"/>
      <c r="E105" s="32"/>
      <c r="F105" s="32"/>
      <c r="G105" s="2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7"/>
      <c r="S105" s="7"/>
      <c r="T105" s="4"/>
      <c r="U105" s="4"/>
      <c r="V105" s="4"/>
      <c r="W105" s="4"/>
      <c r="X105" s="4"/>
      <c r="Y105" s="4"/>
      <c r="Z105" s="4"/>
    </row>
    <row r="106" ht="12.75" customHeight="1">
      <c r="A106" s="14"/>
      <c r="B106" s="21"/>
      <c r="C106" s="21"/>
      <c r="D106" s="14"/>
      <c r="E106" s="32"/>
      <c r="F106" s="32"/>
      <c r="G106" s="2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7"/>
      <c r="S106" s="7"/>
      <c r="T106" s="4"/>
      <c r="U106" s="4"/>
      <c r="V106" s="4"/>
      <c r="W106" s="4"/>
      <c r="X106" s="4"/>
      <c r="Y106" s="4"/>
      <c r="Z106" s="4"/>
    </row>
    <row r="107" ht="12.75" customHeight="1">
      <c r="A107" s="14"/>
      <c r="B107" s="21"/>
      <c r="C107" s="21"/>
      <c r="D107" s="14"/>
      <c r="E107" s="32"/>
      <c r="F107" s="32"/>
      <c r="G107" s="2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7"/>
      <c r="S107" s="7"/>
      <c r="T107" s="4"/>
      <c r="U107" s="4"/>
      <c r="V107" s="4"/>
      <c r="W107" s="4"/>
      <c r="X107" s="4"/>
      <c r="Y107" s="4"/>
      <c r="Z107" s="4"/>
    </row>
    <row r="108" ht="12.75" customHeight="1">
      <c r="A108" s="14"/>
      <c r="B108" s="21"/>
      <c r="C108" s="21"/>
      <c r="D108" s="14"/>
      <c r="E108" s="32"/>
      <c r="F108" s="32"/>
      <c r="G108" s="2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7"/>
      <c r="S108" s="7"/>
      <c r="T108" s="4"/>
      <c r="U108" s="4"/>
      <c r="V108" s="4"/>
      <c r="W108" s="4"/>
      <c r="X108" s="4"/>
      <c r="Y108" s="4"/>
      <c r="Z108" s="4"/>
    </row>
    <row r="109" ht="12.75" customHeight="1">
      <c r="A109" s="14"/>
      <c r="B109" s="21"/>
      <c r="C109" s="21"/>
      <c r="D109" s="14"/>
      <c r="E109" s="32"/>
      <c r="F109" s="32"/>
      <c r="G109" s="2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7"/>
      <c r="S109" s="7"/>
      <c r="T109" s="4"/>
      <c r="U109" s="4"/>
      <c r="V109" s="4"/>
      <c r="W109" s="4"/>
      <c r="X109" s="4"/>
      <c r="Y109" s="4"/>
      <c r="Z109" s="4"/>
    </row>
    <row r="110" ht="12.75" customHeight="1">
      <c r="A110" s="14"/>
      <c r="B110" s="21"/>
      <c r="C110" s="21"/>
      <c r="D110" s="14"/>
      <c r="E110" s="32"/>
      <c r="F110" s="32"/>
      <c r="G110" s="2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7"/>
      <c r="S110" s="7"/>
      <c r="T110" s="4"/>
      <c r="U110" s="4"/>
      <c r="V110" s="4"/>
      <c r="W110" s="4"/>
      <c r="X110" s="4"/>
      <c r="Y110" s="4"/>
      <c r="Z110" s="4"/>
    </row>
    <row r="111" ht="12.75" customHeight="1">
      <c r="A111" s="14"/>
      <c r="B111" s="21"/>
      <c r="C111" s="21"/>
      <c r="D111" s="14"/>
      <c r="E111" s="32"/>
      <c r="F111" s="32"/>
      <c r="G111" s="2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7"/>
      <c r="S111" s="7"/>
      <c r="T111" s="4"/>
      <c r="U111" s="4"/>
      <c r="V111" s="4"/>
      <c r="W111" s="4"/>
      <c r="X111" s="4"/>
      <c r="Y111" s="4"/>
      <c r="Z111" s="4"/>
    </row>
    <row r="112" ht="12.75" customHeight="1">
      <c r="A112" s="14"/>
      <c r="B112" s="21"/>
      <c r="C112" s="21"/>
      <c r="D112" s="14"/>
      <c r="E112" s="32"/>
      <c r="F112" s="32"/>
      <c r="G112" s="2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7"/>
      <c r="S112" s="7"/>
      <c r="T112" s="4"/>
      <c r="U112" s="4"/>
      <c r="V112" s="4"/>
      <c r="W112" s="4"/>
      <c r="X112" s="4"/>
      <c r="Y112" s="4"/>
      <c r="Z112" s="4"/>
    </row>
    <row r="113" ht="12.75" customHeight="1">
      <c r="A113" s="14"/>
      <c r="B113" s="21"/>
      <c r="C113" s="21"/>
      <c r="D113" s="14"/>
      <c r="E113" s="32"/>
      <c r="F113" s="32"/>
      <c r="G113" s="2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7"/>
      <c r="S113" s="7"/>
      <c r="T113" s="4"/>
      <c r="U113" s="4"/>
      <c r="V113" s="4"/>
      <c r="W113" s="4"/>
      <c r="X113" s="4"/>
      <c r="Y113" s="4"/>
      <c r="Z113" s="4"/>
    </row>
    <row r="114" ht="12.75" customHeight="1">
      <c r="A114" s="14"/>
      <c r="B114" s="21"/>
      <c r="C114" s="21"/>
      <c r="D114" s="14"/>
      <c r="E114" s="32"/>
      <c r="F114" s="32"/>
      <c r="G114" s="2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7"/>
      <c r="S114" s="7"/>
      <c r="T114" s="4"/>
      <c r="U114" s="4"/>
      <c r="V114" s="4"/>
      <c r="W114" s="4"/>
      <c r="X114" s="4"/>
      <c r="Y114" s="4"/>
      <c r="Z114" s="4"/>
    </row>
    <row r="115" ht="12.75" customHeight="1">
      <c r="A115" s="14"/>
      <c r="B115" s="21"/>
      <c r="C115" s="21"/>
      <c r="D115" s="14"/>
      <c r="E115" s="32"/>
      <c r="F115" s="32"/>
      <c r="G115" s="2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7"/>
      <c r="S115" s="7"/>
      <c r="T115" s="4"/>
      <c r="U115" s="4"/>
      <c r="V115" s="4"/>
      <c r="W115" s="4"/>
      <c r="X115" s="4"/>
      <c r="Y115" s="4"/>
      <c r="Z115" s="4"/>
    </row>
    <row r="116" ht="12.75" customHeight="1">
      <c r="A116" s="14"/>
      <c r="B116" s="21"/>
      <c r="C116" s="21"/>
      <c r="D116" s="14"/>
      <c r="E116" s="32"/>
      <c r="F116" s="32"/>
      <c r="G116" s="2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7"/>
      <c r="S116" s="7"/>
      <c r="T116" s="4"/>
      <c r="U116" s="4"/>
      <c r="V116" s="4"/>
      <c r="W116" s="4"/>
      <c r="X116" s="4"/>
      <c r="Y116" s="4"/>
      <c r="Z116" s="4"/>
    </row>
    <row r="117" ht="12.75" customHeight="1">
      <c r="A117" s="14"/>
      <c r="B117" s="21"/>
      <c r="C117" s="21"/>
      <c r="D117" s="14"/>
      <c r="E117" s="32"/>
      <c r="F117" s="32"/>
      <c r="G117" s="2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7"/>
      <c r="S117" s="7"/>
      <c r="T117" s="4"/>
      <c r="U117" s="4"/>
      <c r="V117" s="4"/>
      <c r="W117" s="4"/>
      <c r="X117" s="4"/>
      <c r="Y117" s="4"/>
      <c r="Z117" s="4"/>
    </row>
    <row r="118" ht="12.75" customHeight="1">
      <c r="A118" s="14"/>
      <c r="B118" s="21"/>
      <c r="C118" s="21"/>
      <c r="D118" s="14"/>
      <c r="E118" s="32"/>
      <c r="F118" s="32"/>
      <c r="G118" s="2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7"/>
      <c r="S118" s="7"/>
      <c r="T118" s="4"/>
      <c r="U118" s="4"/>
      <c r="V118" s="4"/>
      <c r="W118" s="4"/>
      <c r="X118" s="4"/>
      <c r="Y118" s="4"/>
      <c r="Z118" s="4"/>
    </row>
    <row r="119" ht="12.75" customHeight="1">
      <c r="A119" s="14"/>
      <c r="B119" s="21"/>
      <c r="C119" s="21"/>
      <c r="D119" s="14"/>
      <c r="E119" s="32"/>
      <c r="F119" s="32"/>
      <c r="G119" s="2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7"/>
      <c r="S119" s="7"/>
      <c r="T119" s="4"/>
      <c r="U119" s="4"/>
      <c r="V119" s="4"/>
      <c r="W119" s="4"/>
      <c r="X119" s="4"/>
      <c r="Y119" s="4"/>
      <c r="Z119" s="4"/>
    </row>
    <row r="120" ht="12.75" customHeight="1">
      <c r="A120" s="14"/>
      <c r="B120" s="21"/>
      <c r="C120" s="21"/>
      <c r="D120" s="14"/>
      <c r="E120" s="32"/>
      <c r="F120" s="32"/>
      <c r="G120" s="2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7"/>
      <c r="S120" s="7"/>
      <c r="T120" s="4"/>
      <c r="U120" s="4"/>
      <c r="V120" s="4"/>
      <c r="W120" s="4"/>
      <c r="X120" s="4"/>
      <c r="Y120" s="4"/>
      <c r="Z120" s="4"/>
    </row>
    <row r="121" ht="12.75" customHeight="1">
      <c r="A121" s="14"/>
      <c r="B121" s="21"/>
      <c r="C121" s="21"/>
      <c r="D121" s="14"/>
      <c r="E121" s="32"/>
      <c r="F121" s="32"/>
      <c r="G121" s="2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7"/>
      <c r="S121" s="7"/>
      <c r="T121" s="4"/>
      <c r="U121" s="4"/>
      <c r="V121" s="4"/>
      <c r="W121" s="4"/>
      <c r="X121" s="4"/>
      <c r="Y121" s="4"/>
      <c r="Z121" s="4"/>
    </row>
    <row r="122" ht="12.75" customHeight="1">
      <c r="A122" s="14"/>
      <c r="B122" s="21"/>
      <c r="C122" s="21"/>
      <c r="D122" s="14"/>
      <c r="E122" s="32"/>
      <c r="F122" s="32"/>
      <c r="G122" s="2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7"/>
      <c r="S122" s="7"/>
      <c r="T122" s="4"/>
      <c r="U122" s="4"/>
      <c r="V122" s="4"/>
      <c r="W122" s="4"/>
      <c r="X122" s="4"/>
      <c r="Y122" s="4"/>
      <c r="Z122" s="4"/>
    </row>
    <row r="123" ht="12.75" customHeight="1">
      <c r="A123" s="14"/>
      <c r="B123" s="21"/>
      <c r="C123" s="21"/>
      <c r="D123" s="14"/>
      <c r="E123" s="32"/>
      <c r="F123" s="32"/>
      <c r="G123" s="2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7"/>
      <c r="S123" s="7"/>
      <c r="T123" s="4"/>
      <c r="U123" s="4"/>
      <c r="V123" s="4"/>
      <c r="W123" s="4"/>
      <c r="X123" s="4"/>
      <c r="Y123" s="4"/>
      <c r="Z123" s="4"/>
    </row>
    <row r="124" ht="12.75" customHeight="1">
      <c r="A124" s="14"/>
      <c r="B124" s="21"/>
      <c r="C124" s="21"/>
      <c r="D124" s="14"/>
      <c r="E124" s="32"/>
      <c r="F124" s="32"/>
      <c r="G124" s="2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7"/>
      <c r="S124" s="7"/>
      <c r="T124" s="4"/>
      <c r="U124" s="4"/>
      <c r="V124" s="4"/>
      <c r="W124" s="4"/>
      <c r="X124" s="4"/>
      <c r="Y124" s="4"/>
      <c r="Z124" s="4"/>
    </row>
    <row r="125" ht="12.75" customHeight="1">
      <c r="A125" s="14"/>
      <c r="B125" s="21"/>
      <c r="C125" s="21"/>
      <c r="D125" s="14"/>
      <c r="E125" s="32"/>
      <c r="F125" s="32"/>
      <c r="G125" s="2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7"/>
      <c r="S125" s="7"/>
      <c r="T125" s="4"/>
      <c r="U125" s="4"/>
      <c r="V125" s="4"/>
      <c r="W125" s="4"/>
      <c r="X125" s="4"/>
      <c r="Y125" s="4"/>
      <c r="Z125" s="4"/>
    </row>
    <row r="126" ht="12.75" customHeight="1">
      <c r="A126" s="14"/>
      <c r="B126" s="21"/>
      <c r="C126" s="21"/>
      <c r="D126" s="14"/>
      <c r="E126" s="32"/>
      <c r="F126" s="32"/>
      <c r="G126" s="2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7"/>
      <c r="S126" s="7"/>
      <c r="T126" s="4"/>
      <c r="U126" s="4"/>
      <c r="V126" s="4"/>
      <c r="W126" s="4"/>
      <c r="X126" s="4"/>
      <c r="Y126" s="4"/>
      <c r="Z126" s="4"/>
    </row>
    <row r="127" ht="12.75" customHeight="1">
      <c r="A127" s="14"/>
      <c r="B127" s="21"/>
      <c r="C127" s="21"/>
      <c r="D127" s="14"/>
      <c r="E127" s="32"/>
      <c r="F127" s="32"/>
      <c r="G127" s="2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7"/>
      <c r="S127" s="7"/>
      <c r="T127" s="4"/>
      <c r="U127" s="4"/>
      <c r="V127" s="4"/>
      <c r="W127" s="4"/>
      <c r="X127" s="4"/>
      <c r="Y127" s="4"/>
      <c r="Z127" s="4"/>
    </row>
    <row r="128" ht="12.75" customHeight="1">
      <c r="A128" s="14"/>
      <c r="B128" s="21"/>
      <c r="C128" s="21"/>
      <c r="D128" s="14"/>
      <c r="E128" s="32"/>
      <c r="F128" s="32"/>
      <c r="G128" s="2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7"/>
      <c r="S128" s="7"/>
      <c r="T128" s="4"/>
      <c r="U128" s="4"/>
      <c r="V128" s="4"/>
      <c r="W128" s="4"/>
      <c r="X128" s="4"/>
      <c r="Y128" s="4"/>
      <c r="Z128" s="4"/>
    </row>
    <row r="129" ht="12.75" customHeight="1">
      <c r="A129" s="14"/>
      <c r="B129" s="21"/>
      <c r="C129" s="21"/>
      <c r="D129" s="14"/>
      <c r="E129" s="32"/>
      <c r="F129" s="32"/>
      <c r="G129" s="2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7"/>
      <c r="S129" s="7"/>
      <c r="T129" s="4"/>
      <c r="U129" s="4"/>
      <c r="V129" s="4"/>
      <c r="W129" s="4"/>
      <c r="X129" s="4"/>
      <c r="Y129" s="4"/>
      <c r="Z129" s="4"/>
    </row>
    <row r="130" ht="12.75" customHeight="1">
      <c r="A130" s="14"/>
      <c r="B130" s="21"/>
      <c r="C130" s="21"/>
      <c r="D130" s="14"/>
      <c r="E130" s="32"/>
      <c r="F130" s="32"/>
      <c r="G130" s="2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7"/>
      <c r="S130" s="7"/>
      <c r="T130" s="4"/>
      <c r="U130" s="4"/>
      <c r="V130" s="4"/>
      <c r="W130" s="4"/>
      <c r="X130" s="4"/>
      <c r="Y130" s="4"/>
      <c r="Z130" s="4"/>
    </row>
    <row r="131" ht="12.75" customHeight="1">
      <c r="A131" s="14"/>
      <c r="B131" s="21"/>
      <c r="C131" s="21"/>
      <c r="D131" s="14"/>
      <c r="E131" s="32"/>
      <c r="F131" s="32"/>
      <c r="G131" s="2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7"/>
      <c r="S131" s="7"/>
      <c r="T131" s="4"/>
      <c r="U131" s="4"/>
      <c r="V131" s="4"/>
      <c r="W131" s="4"/>
      <c r="X131" s="4"/>
      <c r="Y131" s="4"/>
      <c r="Z131" s="4"/>
    </row>
    <row r="132" ht="12.75" customHeight="1">
      <c r="A132" s="14"/>
      <c r="B132" s="21"/>
      <c r="C132" s="21"/>
      <c r="D132" s="14"/>
      <c r="E132" s="32"/>
      <c r="F132" s="32"/>
      <c r="G132" s="2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7"/>
      <c r="S132" s="7"/>
      <c r="T132" s="4"/>
      <c r="U132" s="4"/>
      <c r="V132" s="4"/>
      <c r="W132" s="4"/>
      <c r="X132" s="4"/>
      <c r="Y132" s="4"/>
      <c r="Z132" s="4"/>
    </row>
    <row r="133" ht="12.75" customHeight="1">
      <c r="A133" s="14"/>
      <c r="B133" s="21"/>
      <c r="C133" s="21"/>
      <c r="D133" s="14"/>
      <c r="E133" s="32"/>
      <c r="F133" s="32"/>
      <c r="G133" s="2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7"/>
      <c r="S133" s="7"/>
      <c r="T133" s="4"/>
      <c r="U133" s="4"/>
      <c r="V133" s="4"/>
      <c r="W133" s="4"/>
      <c r="X133" s="4"/>
      <c r="Y133" s="4"/>
      <c r="Z133" s="4"/>
    </row>
    <row r="134" ht="12.75" customHeight="1">
      <c r="A134" s="14"/>
      <c r="B134" s="21"/>
      <c r="C134" s="21"/>
      <c r="D134" s="14"/>
      <c r="E134" s="32"/>
      <c r="F134" s="32"/>
      <c r="G134" s="2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7"/>
      <c r="S134" s="7"/>
      <c r="T134" s="4"/>
      <c r="U134" s="4"/>
      <c r="V134" s="4"/>
      <c r="W134" s="4"/>
      <c r="X134" s="4"/>
      <c r="Y134" s="4"/>
      <c r="Z134" s="4"/>
    </row>
    <row r="135" ht="12.75" customHeight="1">
      <c r="A135" s="14"/>
      <c r="B135" s="21"/>
      <c r="C135" s="21"/>
      <c r="D135" s="14"/>
      <c r="E135" s="32"/>
      <c r="F135" s="32"/>
      <c r="G135" s="2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7"/>
      <c r="S135" s="7"/>
      <c r="T135" s="4"/>
      <c r="U135" s="4"/>
      <c r="V135" s="4"/>
      <c r="W135" s="4"/>
      <c r="X135" s="4"/>
      <c r="Y135" s="4"/>
      <c r="Z135" s="4"/>
    </row>
    <row r="136" ht="12.75" customHeight="1">
      <c r="A136" s="14"/>
      <c r="B136" s="21"/>
      <c r="C136" s="21"/>
      <c r="D136" s="14"/>
      <c r="E136" s="32"/>
      <c r="F136" s="32"/>
      <c r="G136" s="2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7"/>
      <c r="S136" s="7"/>
      <c r="T136" s="4"/>
      <c r="U136" s="4"/>
      <c r="V136" s="4"/>
      <c r="W136" s="4"/>
      <c r="X136" s="4"/>
      <c r="Y136" s="4"/>
      <c r="Z136" s="4"/>
    </row>
    <row r="137" ht="12.75" customHeight="1">
      <c r="A137" s="14"/>
      <c r="B137" s="21"/>
      <c r="C137" s="21"/>
      <c r="D137" s="14"/>
      <c r="E137" s="32"/>
      <c r="F137" s="32"/>
      <c r="G137" s="2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7"/>
      <c r="S137" s="7"/>
      <c r="T137" s="4"/>
      <c r="U137" s="4"/>
      <c r="V137" s="4"/>
      <c r="W137" s="4"/>
      <c r="X137" s="4"/>
      <c r="Y137" s="4"/>
      <c r="Z137" s="4"/>
    </row>
    <row r="138" ht="12.75" customHeight="1">
      <c r="A138" s="14"/>
      <c r="B138" s="21"/>
      <c r="C138" s="21"/>
      <c r="D138" s="14"/>
      <c r="E138" s="32"/>
      <c r="F138" s="32"/>
      <c r="G138" s="2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7"/>
      <c r="S138" s="7"/>
      <c r="T138" s="4"/>
      <c r="U138" s="4"/>
      <c r="V138" s="4"/>
      <c r="W138" s="4"/>
      <c r="X138" s="4"/>
      <c r="Y138" s="4"/>
      <c r="Z138" s="4"/>
    </row>
    <row r="139" ht="12.75" customHeight="1">
      <c r="A139" s="14"/>
      <c r="B139" s="21"/>
      <c r="C139" s="21"/>
      <c r="D139" s="14"/>
      <c r="E139" s="32"/>
      <c r="F139" s="32"/>
      <c r="G139" s="2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7"/>
      <c r="S139" s="7"/>
      <c r="T139" s="4"/>
      <c r="U139" s="4"/>
      <c r="V139" s="4"/>
      <c r="W139" s="4"/>
      <c r="X139" s="4"/>
      <c r="Y139" s="4"/>
      <c r="Z139" s="4"/>
    </row>
    <row r="140" ht="12.75" customHeight="1">
      <c r="A140" s="14"/>
      <c r="B140" s="21"/>
      <c r="C140" s="21"/>
      <c r="D140" s="14"/>
      <c r="E140" s="32"/>
      <c r="F140" s="32"/>
      <c r="G140" s="2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7"/>
      <c r="S140" s="7"/>
      <c r="T140" s="4"/>
      <c r="U140" s="4"/>
      <c r="V140" s="4"/>
      <c r="W140" s="4"/>
      <c r="X140" s="4"/>
      <c r="Y140" s="4"/>
      <c r="Z140" s="4"/>
    </row>
    <row r="141" ht="12.75" customHeight="1">
      <c r="A141" s="14"/>
      <c r="B141" s="21"/>
      <c r="C141" s="21"/>
      <c r="D141" s="14"/>
      <c r="E141" s="32"/>
      <c r="F141" s="32"/>
      <c r="G141" s="2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7"/>
      <c r="S141" s="7"/>
      <c r="T141" s="4"/>
      <c r="U141" s="4"/>
      <c r="V141" s="4"/>
      <c r="W141" s="4"/>
      <c r="X141" s="4"/>
      <c r="Y141" s="4"/>
      <c r="Z141" s="4"/>
    </row>
    <row r="142" ht="12.75" customHeight="1">
      <c r="A142" s="14"/>
      <c r="B142" s="21"/>
      <c r="C142" s="21"/>
      <c r="D142" s="14"/>
      <c r="E142" s="32"/>
      <c r="F142" s="32"/>
      <c r="G142" s="2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7"/>
      <c r="S142" s="7"/>
      <c r="T142" s="4"/>
      <c r="U142" s="4"/>
      <c r="V142" s="4"/>
      <c r="W142" s="4"/>
      <c r="X142" s="4"/>
      <c r="Y142" s="4"/>
      <c r="Z142" s="4"/>
    </row>
    <row r="143" ht="12.75" customHeight="1">
      <c r="A143" s="14"/>
      <c r="B143" s="21"/>
      <c r="C143" s="21"/>
      <c r="D143" s="14"/>
      <c r="E143" s="32"/>
      <c r="F143" s="32"/>
      <c r="G143" s="2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7"/>
      <c r="S143" s="7"/>
      <c r="T143" s="4"/>
      <c r="U143" s="4"/>
      <c r="V143" s="4"/>
      <c r="W143" s="4"/>
      <c r="X143" s="4"/>
      <c r="Y143" s="4"/>
      <c r="Z143" s="4"/>
    </row>
    <row r="144" ht="12.75" customHeight="1">
      <c r="A144" s="14"/>
      <c r="B144" s="21"/>
      <c r="C144" s="21"/>
      <c r="D144" s="14"/>
      <c r="E144" s="32"/>
      <c r="F144" s="32"/>
      <c r="G144" s="2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7"/>
      <c r="S144" s="7"/>
      <c r="T144" s="4"/>
      <c r="U144" s="4"/>
      <c r="V144" s="4"/>
      <c r="W144" s="4"/>
      <c r="X144" s="4"/>
      <c r="Y144" s="4"/>
      <c r="Z144" s="4"/>
    </row>
    <row r="145" ht="12.75" customHeight="1">
      <c r="A145" s="14"/>
      <c r="B145" s="21"/>
      <c r="C145" s="21"/>
      <c r="D145" s="14"/>
      <c r="E145" s="32"/>
      <c r="F145" s="32"/>
      <c r="G145" s="2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7"/>
      <c r="S145" s="7"/>
      <c r="T145" s="4"/>
      <c r="U145" s="4"/>
      <c r="V145" s="4"/>
      <c r="W145" s="4"/>
      <c r="X145" s="4"/>
      <c r="Y145" s="4"/>
      <c r="Z145" s="4"/>
    </row>
    <row r="146" ht="12.75" customHeight="1">
      <c r="A146" s="14"/>
      <c r="B146" s="21"/>
      <c r="C146" s="21"/>
      <c r="D146" s="14"/>
      <c r="E146" s="32"/>
      <c r="F146" s="32"/>
      <c r="G146" s="2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7"/>
      <c r="S146" s="7"/>
      <c r="T146" s="4"/>
      <c r="U146" s="4"/>
      <c r="V146" s="4"/>
      <c r="W146" s="4"/>
      <c r="X146" s="4"/>
      <c r="Y146" s="4"/>
      <c r="Z146" s="4"/>
    </row>
    <row r="147" ht="12.75" customHeight="1">
      <c r="A147" s="14"/>
      <c r="B147" s="21"/>
      <c r="C147" s="21"/>
      <c r="D147" s="14"/>
      <c r="E147" s="32"/>
      <c r="F147" s="32"/>
      <c r="G147" s="2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7"/>
      <c r="S147" s="7"/>
      <c r="T147" s="4"/>
      <c r="U147" s="4"/>
      <c r="V147" s="4"/>
      <c r="W147" s="4"/>
      <c r="X147" s="4"/>
      <c r="Y147" s="4"/>
      <c r="Z147" s="4"/>
    </row>
    <row r="148" ht="12.75" customHeight="1">
      <c r="A148" s="14"/>
      <c r="B148" s="21"/>
      <c r="C148" s="21"/>
      <c r="D148" s="14"/>
      <c r="E148" s="32"/>
      <c r="F148" s="32"/>
      <c r="G148" s="2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7"/>
      <c r="S148" s="7"/>
      <c r="T148" s="4"/>
      <c r="U148" s="4"/>
      <c r="V148" s="4"/>
      <c r="W148" s="4"/>
      <c r="X148" s="4"/>
      <c r="Y148" s="4"/>
      <c r="Z148" s="4"/>
    </row>
    <row r="149" ht="12.75" customHeight="1">
      <c r="A149" s="14"/>
      <c r="B149" s="21"/>
      <c r="C149" s="21"/>
      <c r="D149" s="14"/>
      <c r="E149" s="32"/>
      <c r="F149" s="32"/>
      <c r="G149" s="2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7"/>
      <c r="S149" s="7"/>
      <c r="T149" s="4"/>
      <c r="U149" s="4"/>
      <c r="V149" s="4"/>
      <c r="W149" s="4"/>
      <c r="X149" s="4"/>
      <c r="Y149" s="4"/>
      <c r="Z149" s="4"/>
    </row>
    <row r="150" ht="12.75" customHeight="1">
      <c r="A150" s="14"/>
      <c r="B150" s="21"/>
      <c r="C150" s="21"/>
      <c r="D150" s="14"/>
      <c r="E150" s="32"/>
      <c r="F150" s="32"/>
      <c r="G150" s="2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7"/>
      <c r="S150" s="7"/>
      <c r="T150" s="4"/>
      <c r="U150" s="4"/>
      <c r="V150" s="4"/>
      <c r="W150" s="4"/>
      <c r="X150" s="4"/>
      <c r="Y150" s="4"/>
      <c r="Z150" s="4"/>
    </row>
    <row r="151" ht="12.75" customHeight="1">
      <c r="A151" s="14"/>
      <c r="B151" s="21"/>
      <c r="C151" s="21"/>
      <c r="D151" s="14"/>
      <c r="E151" s="32"/>
      <c r="F151" s="32"/>
      <c r="G151" s="2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7"/>
      <c r="S151" s="7"/>
      <c r="T151" s="4"/>
      <c r="U151" s="4"/>
      <c r="V151" s="4"/>
      <c r="W151" s="4"/>
      <c r="X151" s="4"/>
      <c r="Y151" s="4"/>
      <c r="Z151" s="4"/>
    </row>
    <row r="152" ht="12.75" customHeight="1">
      <c r="A152" s="14"/>
      <c r="B152" s="21"/>
      <c r="C152" s="21"/>
      <c r="D152" s="14"/>
      <c r="E152" s="32"/>
      <c r="F152" s="32"/>
      <c r="G152" s="2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7"/>
      <c r="S152" s="7"/>
      <c r="T152" s="4"/>
      <c r="U152" s="4"/>
      <c r="V152" s="4"/>
      <c r="W152" s="4"/>
      <c r="X152" s="4"/>
      <c r="Y152" s="4"/>
      <c r="Z152" s="4"/>
    </row>
    <row r="153" ht="12.75" customHeight="1">
      <c r="A153" s="14"/>
      <c r="B153" s="21"/>
      <c r="C153" s="21"/>
      <c r="D153" s="14"/>
      <c r="E153" s="32"/>
      <c r="F153" s="32"/>
      <c r="G153" s="2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7"/>
      <c r="S153" s="7"/>
      <c r="T153" s="4"/>
      <c r="U153" s="4"/>
      <c r="V153" s="4"/>
      <c r="W153" s="4"/>
      <c r="X153" s="4"/>
      <c r="Y153" s="4"/>
      <c r="Z153" s="4"/>
    </row>
    <row r="154" ht="12.75" customHeight="1">
      <c r="A154" s="14"/>
      <c r="B154" s="21"/>
      <c r="C154" s="21"/>
      <c r="D154" s="14"/>
      <c r="E154" s="32"/>
      <c r="F154" s="32"/>
      <c r="G154" s="2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7"/>
      <c r="S154" s="7"/>
      <c r="T154" s="4"/>
      <c r="U154" s="4"/>
      <c r="V154" s="4"/>
      <c r="W154" s="4"/>
      <c r="X154" s="4"/>
      <c r="Y154" s="4"/>
      <c r="Z154" s="4"/>
    </row>
    <row r="155" ht="12.75" customHeight="1">
      <c r="A155" s="14"/>
      <c r="B155" s="21"/>
      <c r="C155" s="21"/>
      <c r="D155" s="14"/>
      <c r="E155" s="32"/>
      <c r="F155" s="32"/>
      <c r="G155" s="2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7"/>
      <c r="S155" s="7"/>
      <c r="T155" s="4"/>
      <c r="U155" s="4"/>
      <c r="V155" s="4"/>
      <c r="W155" s="4"/>
      <c r="X155" s="4"/>
      <c r="Y155" s="4"/>
      <c r="Z155" s="4"/>
    </row>
    <row r="156" ht="12.75" customHeight="1">
      <c r="A156" s="14"/>
      <c r="B156" s="21"/>
      <c r="C156" s="21"/>
      <c r="D156" s="14"/>
      <c r="E156" s="32"/>
      <c r="F156" s="32"/>
      <c r="G156" s="2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7"/>
      <c r="S156" s="7"/>
      <c r="T156" s="4"/>
      <c r="U156" s="4"/>
      <c r="V156" s="4"/>
      <c r="W156" s="4"/>
      <c r="X156" s="4"/>
      <c r="Y156" s="4"/>
      <c r="Z156" s="4"/>
    </row>
    <row r="157" ht="12.75" customHeight="1">
      <c r="A157" s="14"/>
      <c r="B157" s="21"/>
      <c r="C157" s="21"/>
      <c r="D157" s="14"/>
      <c r="E157" s="32"/>
      <c r="F157" s="32"/>
      <c r="G157" s="2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7"/>
      <c r="S157" s="7"/>
      <c r="T157" s="4"/>
      <c r="U157" s="4"/>
      <c r="V157" s="4"/>
      <c r="W157" s="4"/>
      <c r="X157" s="4"/>
      <c r="Y157" s="4"/>
      <c r="Z157" s="4"/>
    </row>
    <row r="158" ht="12.75" customHeight="1">
      <c r="A158" s="14"/>
      <c r="B158" s="21"/>
      <c r="C158" s="21"/>
      <c r="D158" s="14"/>
      <c r="E158" s="32"/>
      <c r="F158" s="32"/>
      <c r="G158" s="2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7"/>
      <c r="S158" s="7"/>
      <c r="T158" s="4"/>
      <c r="U158" s="4"/>
      <c r="V158" s="4"/>
      <c r="W158" s="4"/>
      <c r="X158" s="4"/>
      <c r="Y158" s="4"/>
      <c r="Z158" s="4"/>
    </row>
    <row r="159" ht="12.75" customHeight="1">
      <c r="A159" s="14"/>
      <c r="B159" s="21"/>
      <c r="C159" s="21"/>
      <c r="D159" s="14"/>
      <c r="E159" s="32"/>
      <c r="F159" s="32"/>
      <c r="G159" s="2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7"/>
      <c r="S159" s="7"/>
      <c r="T159" s="4"/>
      <c r="U159" s="4"/>
      <c r="V159" s="4"/>
      <c r="W159" s="4"/>
      <c r="X159" s="4"/>
      <c r="Y159" s="4"/>
      <c r="Z159" s="4"/>
    </row>
    <row r="160" ht="12.75" customHeight="1">
      <c r="A160" s="14"/>
      <c r="B160" s="21"/>
      <c r="C160" s="21"/>
      <c r="D160" s="14"/>
      <c r="E160" s="32"/>
      <c r="F160" s="32"/>
      <c r="G160" s="2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7"/>
      <c r="S160" s="7"/>
      <c r="T160" s="4"/>
      <c r="U160" s="4"/>
      <c r="V160" s="4"/>
      <c r="W160" s="4"/>
      <c r="X160" s="4"/>
      <c r="Y160" s="4"/>
      <c r="Z160" s="4"/>
    </row>
    <row r="161" ht="12.75" customHeight="1">
      <c r="A161" s="14"/>
      <c r="B161" s="21"/>
      <c r="C161" s="21"/>
      <c r="D161" s="14"/>
      <c r="E161" s="32"/>
      <c r="F161" s="32"/>
      <c r="G161" s="2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7"/>
      <c r="S161" s="7"/>
      <c r="T161" s="4"/>
      <c r="U161" s="4"/>
      <c r="V161" s="4"/>
      <c r="W161" s="4"/>
      <c r="X161" s="4"/>
      <c r="Y161" s="4"/>
      <c r="Z161" s="4"/>
    </row>
    <row r="162" ht="12.75" customHeight="1">
      <c r="A162" s="14"/>
      <c r="B162" s="21"/>
      <c r="C162" s="21"/>
      <c r="D162" s="14"/>
      <c r="E162" s="32"/>
      <c r="F162" s="32"/>
      <c r="G162" s="2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7"/>
      <c r="S162" s="7"/>
      <c r="T162" s="4"/>
      <c r="U162" s="4"/>
      <c r="V162" s="4"/>
      <c r="W162" s="4"/>
      <c r="X162" s="4"/>
      <c r="Y162" s="4"/>
      <c r="Z162" s="4"/>
    </row>
    <row r="163" ht="12.75" customHeight="1">
      <c r="A163" s="14"/>
      <c r="B163" s="21"/>
      <c r="C163" s="21"/>
      <c r="D163" s="14"/>
      <c r="E163" s="32"/>
      <c r="F163" s="32"/>
      <c r="G163" s="2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7"/>
      <c r="S163" s="7"/>
      <c r="T163" s="4"/>
      <c r="U163" s="4"/>
      <c r="V163" s="4"/>
      <c r="W163" s="4"/>
      <c r="X163" s="4"/>
      <c r="Y163" s="4"/>
      <c r="Z163" s="4"/>
    </row>
    <row r="164" ht="12.75" customHeight="1">
      <c r="A164" s="14"/>
      <c r="B164" s="21"/>
      <c r="C164" s="21"/>
      <c r="D164" s="14"/>
      <c r="E164" s="32"/>
      <c r="F164" s="32"/>
      <c r="G164" s="2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7"/>
      <c r="S164" s="7"/>
      <c r="T164" s="4"/>
      <c r="U164" s="4"/>
      <c r="V164" s="4"/>
      <c r="W164" s="4"/>
      <c r="X164" s="4"/>
      <c r="Y164" s="4"/>
      <c r="Z164" s="4"/>
    </row>
    <row r="165" ht="12.75" customHeight="1">
      <c r="A165" s="14"/>
      <c r="B165" s="21"/>
      <c r="C165" s="21"/>
      <c r="D165" s="14"/>
      <c r="E165" s="32"/>
      <c r="F165" s="32"/>
      <c r="G165" s="2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7"/>
      <c r="S165" s="7"/>
      <c r="T165" s="4"/>
      <c r="U165" s="4"/>
      <c r="V165" s="4"/>
      <c r="W165" s="4"/>
      <c r="X165" s="4"/>
      <c r="Y165" s="4"/>
      <c r="Z165" s="4"/>
    </row>
    <row r="166" ht="12.75" customHeight="1">
      <c r="A166" s="14"/>
      <c r="B166" s="21"/>
      <c r="C166" s="21"/>
      <c r="D166" s="14"/>
      <c r="E166" s="32"/>
      <c r="F166" s="32"/>
      <c r="G166" s="2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7"/>
      <c r="S166" s="7"/>
      <c r="T166" s="4"/>
      <c r="U166" s="4"/>
      <c r="V166" s="4"/>
      <c r="W166" s="4"/>
      <c r="X166" s="4"/>
      <c r="Y166" s="4"/>
      <c r="Z166" s="4"/>
    </row>
    <row r="167" ht="12.75" customHeight="1">
      <c r="A167" s="14"/>
      <c r="B167" s="21"/>
      <c r="C167" s="21"/>
      <c r="D167" s="14"/>
      <c r="E167" s="32"/>
      <c r="F167" s="32"/>
      <c r="G167" s="2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7"/>
      <c r="S167" s="7"/>
      <c r="T167" s="4"/>
      <c r="U167" s="4"/>
      <c r="V167" s="4"/>
      <c r="W167" s="4"/>
      <c r="X167" s="4"/>
      <c r="Y167" s="4"/>
      <c r="Z167" s="4"/>
    </row>
    <row r="168" ht="12.75" customHeight="1">
      <c r="A168" s="14"/>
      <c r="B168" s="21"/>
      <c r="C168" s="21"/>
      <c r="D168" s="14"/>
      <c r="E168" s="32"/>
      <c r="F168" s="32"/>
      <c r="G168" s="2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7"/>
      <c r="S168" s="7"/>
      <c r="T168" s="4"/>
      <c r="U168" s="4"/>
      <c r="V168" s="4"/>
      <c r="W168" s="4"/>
      <c r="X168" s="4"/>
      <c r="Y168" s="4"/>
      <c r="Z168" s="4"/>
    </row>
    <row r="169" ht="12.75" customHeight="1">
      <c r="A169" s="14"/>
      <c r="B169" s="21"/>
      <c r="C169" s="21"/>
      <c r="D169" s="14"/>
      <c r="E169" s="32"/>
      <c r="F169" s="32"/>
      <c r="G169" s="2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7"/>
      <c r="S169" s="7"/>
      <c r="T169" s="4"/>
      <c r="U169" s="4"/>
      <c r="V169" s="4"/>
      <c r="W169" s="4"/>
      <c r="X169" s="4"/>
      <c r="Y169" s="4"/>
      <c r="Z169" s="4"/>
    </row>
    <row r="170" ht="12.75" customHeight="1">
      <c r="A170" s="14"/>
      <c r="B170" s="21"/>
      <c r="C170" s="21"/>
      <c r="D170" s="14"/>
      <c r="E170" s="32"/>
      <c r="F170" s="32"/>
      <c r="G170" s="2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7"/>
      <c r="S170" s="7"/>
      <c r="T170" s="4"/>
      <c r="U170" s="4"/>
      <c r="V170" s="4"/>
      <c r="W170" s="4"/>
      <c r="X170" s="4"/>
      <c r="Y170" s="4"/>
      <c r="Z170" s="4"/>
    </row>
    <row r="171" ht="12.75" customHeight="1">
      <c r="A171" s="14"/>
      <c r="B171" s="21"/>
      <c r="C171" s="21"/>
      <c r="D171" s="14"/>
      <c r="E171" s="32"/>
      <c r="F171" s="32"/>
      <c r="G171" s="2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7"/>
      <c r="S171" s="7"/>
      <c r="T171" s="4"/>
      <c r="U171" s="4"/>
      <c r="V171" s="4"/>
      <c r="W171" s="4"/>
      <c r="X171" s="4"/>
      <c r="Y171" s="4"/>
      <c r="Z171" s="4"/>
    </row>
    <row r="172" ht="12.75" customHeight="1">
      <c r="A172" s="14"/>
      <c r="B172" s="21"/>
      <c r="C172" s="21"/>
      <c r="D172" s="14"/>
      <c r="E172" s="32"/>
      <c r="F172" s="32"/>
      <c r="G172" s="2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7"/>
      <c r="S172" s="7"/>
      <c r="T172" s="4"/>
      <c r="U172" s="4"/>
      <c r="V172" s="4"/>
      <c r="W172" s="4"/>
      <c r="X172" s="4"/>
      <c r="Y172" s="4"/>
      <c r="Z172" s="4"/>
    </row>
    <row r="173" ht="12.75" customHeight="1">
      <c r="A173" s="14"/>
      <c r="B173" s="21"/>
      <c r="C173" s="21"/>
      <c r="D173" s="14"/>
      <c r="E173" s="32"/>
      <c r="F173" s="32"/>
      <c r="G173" s="2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7"/>
      <c r="S173" s="7"/>
      <c r="T173" s="4"/>
      <c r="U173" s="4"/>
      <c r="V173" s="4"/>
      <c r="W173" s="4"/>
      <c r="X173" s="4"/>
      <c r="Y173" s="4"/>
      <c r="Z173" s="4"/>
    </row>
    <row r="174" ht="12.75" customHeight="1">
      <c r="A174" s="14"/>
      <c r="B174" s="21"/>
      <c r="C174" s="21"/>
      <c r="D174" s="14"/>
      <c r="E174" s="32"/>
      <c r="F174" s="32"/>
      <c r="G174" s="2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7"/>
      <c r="S174" s="7"/>
      <c r="T174" s="4"/>
      <c r="U174" s="4"/>
      <c r="V174" s="4"/>
      <c r="W174" s="4"/>
      <c r="X174" s="4"/>
      <c r="Y174" s="4"/>
      <c r="Z174" s="4"/>
    </row>
    <row r="175" ht="12.75" customHeight="1">
      <c r="A175" s="14"/>
      <c r="B175" s="21"/>
      <c r="C175" s="21"/>
      <c r="D175" s="14"/>
      <c r="E175" s="32"/>
      <c r="F175" s="32"/>
      <c r="G175" s="2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7"/>
      <c r="S175" s="7"/>
      <c r="T175" s="4"/>
      <c r="U175" s="4"/>
      <c r="V175" s="4"/>
      <c r="W175" s="4"/>
      <c r="X175" s="4"/>
      <c r="Y175" s="4"/>
      <c r="Z175" s="4"/>
    </row>
    <row r="176" ht="12.75" customHeight="1">
      <c r="A176" s="14"/>
      <c r="B176" s="21"/>
      <c r="C176" s="21"/>
      <c r="D176" s="14"/>
      <c r="E176" s="32"/>
      <c r="F176" s="32"/>
      <c r="G176" s="2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7"/>
      <c r="S176" s="7"/>
      <c r="T176" s="4"/>
      <c r="U176" s="4"/>
      <c r="V176" s="4"/>
      <c r="W176" s="4"/>
      <c r="X176" s="4"/>
      <c r="Y176" s="4"/>
      <c r="Z176" s="4"/>
    </row>
    <row r="177" ht="12.75" customHeight="1">
      <c r="A177" s="14"/>
      <c r="B177" s="21"/>
      <c r="C177" s="21"/>
      <c r="D177" s="14"/>
      <c r="E177" s="32"/>
      <c r="F177" s="32"/>
      <c r="G177" s="2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7"/>
      <c r="S177" s="7"/>
      <c r="T177" s="4"/>
      <c r="U177" s="4"/>
      <c r="V177" s="4"/>
      <c r="W177" s="4"/>
      <c r="X177" s="4"/>
      <c r="Y177" s="4"/>
      <c r="Z177" s="4"/>
    </row>
    <row r="178" ht="12.75" customHeight="1">
      <c r="A178" s="14"/>
      <c r="B178" s="21"/>
      <c r="C178" s="21"/>
      <c r="D178" s="14"/>
      <c r="E178" s="32"/>
      <c r="F178" s="32"/>
      <c r="G178" s="2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7"/>
      <c r="S178" s="7"/>
      <c r="T178" s="4"/>
      <c r="U178" s="4"/>
      <c r="V178" s="4"/>
      <c r="W178" s="4"/>
      <c r="X178" s="4"/>
      <c r="Y178" s="4"/>
      <c r="Z178" s="4"/>
    </row>
    <row r="179" ht="12.75" customHeight="1">
      <c r="A179" s="14"/>
      <c r="B179" s="21"/>
      <c r="C179" s="21"/>
      <c r="D179" s="14"/>
      <c r="E179" s="32"/>
      <c r="F179" s="32"/>
      <c r="G179" s="2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7"/>
      <c r="S179" s="7"/>
      <c r="T179" s="4"/>
      <c r="U179" s="4"/>
      <c r="V179" s="4"/>
      <c r="W179" s="4"/>
      <c r="X179" s="4"/>
      <c r="Y179" s="4"/>
      <c r="Z179" s="4"/>
    </row>
    <row r="180" ht="12.75" customHeight="1">
      <c r="A180" s="14"/>
      <c r="B180" s="21"/>
      <c r="C180" s="21"/>
      <c r="D180" s="14"/>
      <c r="E180" s="32"/>
      <c r="F180" s="32"/>
      <c r="G180" s="2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7"/>
      <c r="S180" s="7"/>
      <c r="T180" s="4"/>
      <c r="U180" s="4"/>
      <c r="V180" s="4"/>
      <c r="W180" s="4"/>
      <c r="X180" s="4"/>
      <c r="Y180" s="4"/>
      <c r="Z180" s="4"/>
    </row>
    <row r="181" ht="12.75" customHeight="1">
      <c r="A181" s="14"/>
      <c r="B181" s="21"/>
      <c r="C181" s="21"/>
      <c r="D181" s="14"/>
      <c r="E181" s="32"/>
      <c r="F181" s="32"/>
      <c r="G181" s="2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7"/>
      <c r="S181" s="7"/>
      <c r="T181" s="4"/>
      <c r="U181" s="4"/>
      <c r="V181" s="4"/>
      <c r="W181" s="4"/>
      <c r="X181" s="4"/>
      <c r="Y181" s="4"/>
      <c r="Z181" s="4"/>
    </row>
    <row r="182" ht="12.75" customHeight="1">
      <c r="A182" s="14"/>
      <c r="B182" s="21"/>
      <c r="C182" s="21"/>
      <c r="D182" s="14"/>
      <c r="E182" s="32"/>
      <c r="F182" s="32"/>
      <c r="G182" s="2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7"/>
      <c r="S182" s="7"/>
      <c r="T182" s="4"/>
      <c r="U182" s="4"/>
      <c r="V182" s="4"/>
      <c r="W182" s="4"/>
      <c r="X182" s="4"/>
      <c r="Y182" s="4"/>
      <c r="Z182" s="4"/>
    </row>
    <row r="183" ht="12.75" customHeight="1">
      <c r="A183" s="14"/>
      <c r="B183" s="21"/>
      <c r="C183" s="21"/>
      <c r="D183" s="14"/>
      <c r="E183" s="32"/>
      <c r="F183" s="32"/>
      <c r="G183" s="2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7"/>
      <c r="S183" s="7"/>
      <c r="T183" s="4"/>
      <c r="U183" s="4"/>
      <c r="V183" s="4"/>
      <c r="W183" s="4"/>
      <c r="X183" s="4"/>
      <c r="Y183" s="4"/>
      <c r="Z183" s="4"/>
    </row>
    <row r="184" ht="12.75" customHeight="1">
      <c r="A184" s="14"/>
      <c r="B184" s="21"/>
      <c r="C184" s="21"/>
      <c r="D184" s="14"/>
      <c r="E184" s="32"/>
      <c r="F184" s="32"/>
      <c r="G184" s="2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7"/>
      <c r="S184" s="7"/>
      <c r="T184" s="4"/>
      <c r="U184" s="4"/>
      <c r="V184" s="4"/>
      <c r="W184" s="4"/>
      <c r="X184" s="4"/>
      <c r="Y184" s="4"/>
      <c r="Z184" s="4"/>
    </row>
    <row r="185" ht="12.75" customHeight="1">
      <c r="A185" s="14"/>
      <c r="B185" s="21"/>
      <c r="C185" s="21"/>
      <c r="D185" s="14"/>
      <c r="E185" s="32"/>
      <c r="F185" s="32"/>
      <c r="G185" s="2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7"/>
      <c r="S185" s="7"/>
      <c r="T185" s="4"/>
      <c r="U185" s="4"/>
      <c r="V185" s="4"/>
      <c r="W185" s="4"/>
      <c r="X185" s="4"/>
      <c r="Y185" s="4"/>
      <c r="Z185" s="4"/>
    </row>
    <row r="186" ht="12.75" customHeight="1">
      <c r="A186" s="14"/>
      <c r="B186" s="21"/>
      <c r="C186" s="21"/>
      <c r="D186" s="14"/>
      <c r="E186" s="32"/>
      <c r="F186" s="32"/>
      <c r="G186" s="2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7"/>
      <c r="S186" s="7"/>
      <c r="T186" s="4"/>
      <c r="U186" s="4"/>
      <c r="V186" s="4"/>
      <c r="W186" s="4"/>
      <c r="X186" s="4"/>
      <c r="Y186" s="4"/>
      <c r="Z186" s="4"/>
    </row>
    <row r="187" ht="12.75" customHeight="1">
      <c r="A187" s="14"/>
      <c r="B187" s="21"/>
      <c r="C187" s="21"/>
      <c r="D187" s="14"/>
      <c r="E187" s="32"/>
      <c r="F187" s="32"/>
      <c r="G187" s="2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7"/>
      <c r="S187" s="7"/>
      <c r="T187" s="4"/>
      <c r="U187" s="4"/>
      <c r="V187" s="4"/>
      <c r="W187" s="4"/>
      <c r="X187" s="4"/>
      <c r="Y187" s="4"/>
      <c r="Z187" s="4"/>
    </row>
    <row r="188" ht="12.75" customHeight="1">
      <c r="A188" s="14"/>
      <c r="B188" s="21"/>
      <c r="C188" s="21"/>
      <c r="D188" s="14"/>
      <c r="E188" s="32"/>
      <c r="F188" s="32"/>
      <c r="G188" s="2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7"/>
      <c r="S188" s="7"/>
      <c r="T188" s="4"/>
      <c r="U188" s="4"/>
      <c r="V188" s="4"/>
      <c r="W188" s="4"/>
      <c r="X188" s="4"/>
      <c r="Y188" s="4"/>
      <c r="Z188" s="4"/>
    </row>
    <row r="189" ht="12.75" customHeight="1">
      <c r="A189" s="14"/>
      <c r="B189" s="21"/>
      <c r="C189" s="21"/>
      <c r="D189" s="14"/>
      <c r="E189" s="32"/>
      <c r="F189" s="32"/>
      <c r="G189" s="2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7"/>
      <c r="S189" s="7"/>
      <c r="T189" s="4"/>
      <c r="U189" s="4"/>
      <c r="V189" s="4"/>
      <c r="W189" s="4"/>
      <c r="X189" s="4"/>
      <c r="Y189" s="4"/>
      <c r="Z189" s="4"/>
    </row>
    <row r="190" ht="12.75" customHeight="1">
      <c r="A190" s="14"/>
      <c r="B190" s="21"/>
      <c r="C190" s="21"/>
      <c r="D190" s="14"/>
      <c r="E190" s="32"/>
      <c r="F190" s="32"/>
      <c r="G190" s="2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7"/>
      <c r="S190" s="7"/>
      <c r="T190" s="4"/>
      <c r="U190" s="4"/>
      <c r="V190" s="4"/>
      <c r="W190" s="4"/>
      <c r="X190" s="4"/>
      <c r="Y190" s="4"/>
      <c r="Z190" s="4"/>
    </row>
    <row r="191" ht="12.75" customHeight="1">
      <c r="A191" s="14"/>
      <c r="B191" s="21"/>
      <c r="C191" s="21"/>
      <c r="D191" s="14"/>
      <c r="E191" s="32"/>
      <c r="F191" s="32"/>
      <c r="G191" s="2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7"/>
      <c r="S191" s="7"/>
      <c r="T191" s="4"/>
      <c r="U191" s="4"/>
      <c r="V191" s="4"/>
      <c r="W191" s="4"/>
      <c r="X191" s="4"/>
      <c r="Y191" s="4"/>
      <c r="Z191" s="4"/>
    </row>
    <row r="192" ht="12.75" customHeight="1">
      <c r="A192" s="14"/>
      <c r="B192" s="21"/>
      <c r="C192" s="21"/>
      <c r="D192" s="14"/>
      <c r="E192" s="32"/>
      <c r="F192" s="32"/>
      <c r="G192" s="2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7"/>
      <c r="S192" s="7"/>
      <c r="T192" s="4"/>
      <c r="U192" s="4"/>
      <c r="V192" s="4"/>
      <c r="W192" s="4"/>
      <c r="X192" s="4"/>
      <c r="Y192" s="4"/>
      <c r="Z192" s="4"/>
    </row>
    <row r="193" ht="12.75" customHeight="1">
      <c r="A193" s="14"/>
      <c r="B193" s="21"/>
      <c r="C193" s="21"/>
      <c r="D193" s="14"/>
      <c r="E193" s="32"/>
      <c r="F193" s="32"/>
      <c r="G193" s="2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7"/>
      <c r="S193" s="7"/>
      <c r="T193" s="4"/>
      <c r="U193" s="4"/>
      <c r="V193" s="4"/>
      <c r="W193" s="4"/>
      <c r="X193" s="4"/>
      <c r="Y193" s="4"/>
      <c r="Z193" s="4"/>
    </row>
    <row r="194" ht="12.75" customHeight="1">
      <c r="A194" s="14"/>
      <c r="B194" s="21"/>
      <c r="C194" s="21"/>
      <c r="D194" s="14"/>
      <c r="E194" s="32"/>
      <c r="F194" s="32"/>
      <c r="G194" s="2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7"/>
      <c r="S194" s="7"/>
      <c r="T194" s="4"/>
      <c r="U194" s="4"/>
      <c r="V194" s="4"/>
      <c r="W194" s="4"/>
      <c r="X194" s="4"/>
      <c r="Y194" s="4"/>
      <c r="Z194" s="4"/>
    </row>
    <row r="195" ht="12.75" customHeight="1">
      <c r="A195" s="14"/>
      <c r="B195" s="21"/>
      <c r="C195" s="21"/>
      <c r="D195" s="14"/>
      <c r="E195" s="32"/>
      <c r="F195" s="32"/>
      <c r="G195" s="2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7"/>
      <c r="S195" s="7"/>
      <c r="T195" s="4"/>
      <c r="U195" s="4"/>
      <c r="V195" s="4"/>
      <c r="W195" s="4"/>
      <c r="X195" s="4"/>
      <c r="Y195" s="4"/>
      <c r="Z195" s="4"/>
    </row>
    <row r="196" ht="12.75" customHeight="1">
      <c r="A196" s="14"/>
      <c r="B196" s="21"/>
      <c r="C196" s="21"/>
      <c r="D196" s="14"/>
      <c r="E196" s="32"/>
      <c r="F196" s="32"/>
      <c r="G196" s="2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7"/>
      <c r="S196" s="7"/>
      <c r="T196" s="4"/>
      <c r="U196" s="4"/>
      <c r="V196" s="4"/>
      <c r="W196" s="4"/>
      <c r="X196" s="4"/>
      <c r="Y196" s="4"/>
      <c r="Z196" s="4"/>
    </row>
    <row r="197" ht="12.75" customHeight="1">
      <c r="A197" s="14"/>
      <c r="B197" s="21"/>
      <c r="C197" s="21"/>
      <c r="D197" s="14"/>
      <c r="E197" s="32"/>
      <c r="F197" s="32"/>
      <c r="G197" s="2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7"/>
      <c r="S197" s="7"/>
      <c r="T197" s="4"/>
      <c r="U197" s="4"/>
      <c r="V197" s="4"/>
      <c r="W197" s="4"/>
      <c r="X197" s="4"/>
      <c r="Y197" s="4"/>
      <c r="Z197" s="4"/>
    </row>
    <row r="198" ht="12.75" customHeight="1">
      <c r="A198" s="14"/>
      <c r="B198" s="21"/>
      <c r="C198" s="21"/>
      <c r="D198" s="14"/>
      <c r="E198" s="32"/>
      <c r="F198" s="32"/>
      <c r="G198" s="2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7"/>
      <c r="S198" s="7"/>
      <c r="T198" s="4"/>
      <c r="U198" s="4"/>
      <c r="V198" s="4"/>
      <c r="W198" s="4"/>
      <c r="X198" s="4"/>
      <c r="Y198" s="4"/>
      <c r="Z198" s="4"/>
    </row>
    <row r="199" ht="12.75" customHeight="1">
      <c r="A199" s="14"/>
      <c r="B199" s="21"/>
      <c r="C199" s="21"/>
      <c r="D199" s="14"/>
      <c r="E199" s="32"/>
      <c r="F199" s="32"/>
      <c r="G199" s="2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7"/>
      <c r="S199" s="7"/>
      <c r="T199" s="4"/>
      <c r="U199" s="4"/>
      <c r="V199" s="4"/>
      <c r="W199" s="4"/>
      <c r="X199" s="4"/>
      <c r="Y199" s="4"/>
      <c r="Z199" s="4"/>
    </row>
    <row r="200" ht="12.75" customHeight="1">
      <c r="A200" s="14"/>
      <c r="B200" s="21"/>
      <c r="C200" s="21"/>
      <c r="D200" s="14"/>
      <c r="E200" s="32"/>
      <c r="F200" s="32"/>
      <c r="G200" s="2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7"/>
      <c r="S200" s="7"/>
      <c r="T200" s="4"/>
      <c r="U200" s="4"/>
      <c r="V200" s="4"/>
      <c r="W200" s="4"/>
      <c r="X200" s="4"/>
      <c r="Y200" s="4"/>
      <c r="Z200" s="4"/>
    </row>
    <row r="201" ht="12.75" customHeight="1">
      <c r="A201" s="14"/>
      <c r="B201" s="21"/>
      <c r="C201" s="21"/>
      <c r="D201" s="14"/>
      <c r="E201" s="32"/>
      <c r="F201" s="32"/>
      <c r="G201" s="2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7"/>
      <c r="S201" s="7"/>
      <c r="T201" s="4"/>
      <c r="U201" s="4"/>
      <c r="V201" s="4"/>
      <c r="W201" s="4"/>
      <c r="X201" s="4"/>
      <c r="Y201" s="4"/>
      <c r="Z201" s="4"/>
    </row>
    <row r="202" ht="12.75" customHeight="1">
      <c r="A202" s="14"/>
      <c r="B202" s="21"/>
      <c r="C202" s="21"/>
      <c r="D202" s="14"/>
      <c r="E202" s="32"/>
      <c r="F202" s="32"/>
      <c r="G202" s="2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7"/>
      <c r="S202" s="7"/>
      <c r="T202" s="4"/>
      <c r="U202" s="4"/>
      <c r="V202" s="4"/>
      <c r="W202" s="4"/>
      <c r="X202" s="4"/>
      <c r="Y202" s="4"/>
      <c r="Z202" s="4"/>
    </row>
    <row r="203" ht="12.75" customHeight="1">
      <c r="A203" s="14"/>
      <c r="B203" s="21"/>
      <c r="C203" s="21"/>
      <c r="D203" s="14"/>
      <c r="E203" s="32"/>
      <c r="F203" s="32"/>
      <c r="G203" s="2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7"/>
      <c r="S203" s="7"/>
      <c r="T203" s="4"/>
      <c r="U203" s="4"/>
      <c r="V203" s="4"/>
      <c r="W203" s="4"/>
      <c r="X203" s="4"/>
      <c r="Y203" s="4"/>
      <c r="Z203" s="4"/>
    </row>
    <row r="204" ht="12.75" customHeight="1">
      <c r="A204" s="14"/>
      <c r="B204" s="21"/>
      <c r="C204" s="21"/>
      <c r="D204" s="14"/>
      <c r="E204" s="32"/>
      <c r="F204" s="32"/>
      <c r="G204" s="2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7"/>
      <c r="S204" s="7"/>
      <c r="T204" s="4"/>
      <c r="U204" s="4"/>
      <c r="V204" s="4"/>
      <c r="W204" s="4"/>
      <c r="X204" s="4"/>
      <c r="Y204" s="4"/>
      <c r="Z204" s="4"/>
    </row>
    <row r="205" ht="12.75" customHeight="1">
      <c r="A205" s="14"/>
      <c r="B205" s="21"/>
      <c r="C205" s="21"/>
      <c r="D205" s="14"/>
      <c r="E205" s="32"/>
      <c r="F205" s="32"/>
      <c r="G205" s="2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7"/>
      <c r="S205" s="7"/>
      <c r="T205" s="4"/>
      <c r="U205" s="4"/>
      <c r="V205" s="4"/>
      <c r="W205" s="4"/>
      <c r="X205" s="4"/>
      <c r="Y205" s="4"/>
      <c r="Z205" s="4"/>
    </row>
    <row r="206" ht="12.75" customHeight="1">
      <c r="A206" s="14"/>
      <c r="B206" s="21"/>
      <c r="C206" s="21"/>
      <c r="D206" s="14"/>
      <c r="E206" s="32"/>
      <c r="F206" s="32"/>
      <c r="G206" s="2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7"/>
      <c r="S206" s="7"/>
      <c r="T206" s="4"/>
      <c r="U206" s="4"/>
      <c r="V206" s="4"/>
      <c r="W206" s="4"/>
      <c r="X206" s="4"/>
      <c r="Y206" s="4"/>
      <c r="Z206" s="4"/>
    </row>
    <row r="207" ht="12.75" customHeight="1">
      <c r="A207" s="14"/>
      <c r="B207" s="21"/>
      <c r="C207" s="21"/>
      <c r="D207" s="14"/>
      <c r="E207" s="32"/>
      <c r="F207" s="32"/>
      <c r="G207" s="2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7"/>
      <c r="S207" s="7"/>
      <c r="T207" s="4"/>
      <c r="U207" s="4"/>
      <c r="V207" s="4"/>
      <c r="W207" s="4"/>
      <c r="X207" s="4"/>
      <c r="Y207" s="4"/>
      <c r="Z207" s="4"/>
    </row>
    <row r="208" ht="12.75" customHeight="1">
      <c r="A208" s="14"/>
      <c r="B208" s="21"/>
      <c r="C208" s="21"/>
      <c r="D208" s="14"/>
      <c r="E208" s="32"/>
      <c r="F208" s="32"/>
      <c r="G208" s="2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7"/>
      <c r="S208" s="7"/>
      <c r="T208" s="4"/>
      <c r="U208" s="4"/>
      <c r="V208" s="4"/>
      <c r="W208" s="4"/>
      <c r="X208" s="4"/>
      <c r="Y208" s="4"/>
      <c r="Z208" s="4"/>
    </row>
    <row r="209" ht="12.75" customHeight="1">
      <c r="A209" s="14"/>
      <c r="B209" s="21"/>
      <c r="C209" s="21"/>
      <c r="D209" s="14"/>
      <c r="E209" s="32"/>
      <c r="F209" s="32"/>
      <c r="G209" s="2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7"/>
      <c r="S209" s="7"/>
      <c r="T209" s="4"/>
      <c r="U209" s="4"/>
      <c r="V209" s="4"/>
      <c r="W209" s="4"/>
      <c r="X209" s="4"/>
      <c r="Y209" s="4"/>
      <c r="Z209" s="4"/>
    </row>
    <row r="210" ht="12.75" customHeight="1">
      <c r="A210" s="14"/>
      <c r="B210" s="21"/>
      <c r="C210" s="21"/>
      <c r="D210" s="14"/>
      <c r="E210" s="32"/>
      <c r="F210" s="32"/>
      <c r="G210" s="2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7"/>
      <c r="S210" s="7"/>
      <c r="T210" s="4"/>
      <c r="U210" s="4"/>
      <c r="V210" s="4"/>
      <c r="W210" s="4"/>
      <c r="X210" s="4"/>
      <c r="Y210" s="4"/>
      <c r="Z210" s="4"/>
    </row>
    <row r="211" ht="12.75" customHeight="1">
      <c r="A211" s="14"/>
      <c r="B211" s="21"/>
      <c r="C211" s="21"/>
      <c r="D211" s="14"/>
      <c r="E211" s="32"/>
      <c r="F211" s="32"/>
      <c r="G211" s="2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7"/>
      <c r="S211" s="7"/>
      <c r="T211" s="4"/>
      <c r="U211" s="4"/>
      <c r="V211" s="4"/>
      <c r="W211" s="4"/>
      <c r="X211" s="4"/>
      <c r="Y211" s="4"/>
      <c r="Z211" s="4"/>
    </row>
    <row r="212" ht="12.75" customHeight="1">
      <c r="A212" s="14"/>
      <c r="B212" s="21"/>
      <c r="C212" s="21"/>
      <c r="D212" s="14"/>
      <c r="E212" s="32"/>
      <c r="F212" s="32"/>
      <c r="G212" s="2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7"/>
      <c r="S212" s="7"/>
      <c r="T212" s="4"/>
      <c r="U212" s="4"/>
      <c r="V212" s="4"/>
      <c r="W212" s="4"/>
      <c r="X212" s="4"/>
      <c r="Y212" s="4"/>
      <c r="Z212" s="4"/>
    </row>
    <row r="213" ht="12.75" customHeight="1">
      <c r="A213" s="14"/>
      <c r="B213" s="21"/>
      <c r="C213" s="21"/>
      <c r="D213" s="14"/>
      <c r="E213" s="32"/>
      <c r="F213" s="32"/>
      <c r="G213" s="2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7"/>
      <c r="S213" s="7"/>
      <c r="T213" s="4"/>
      <c r="U213" s="4"/>
      <c r="V213" s="4"/>
      <c r="W213" s="4"/>
      <c r="X213" s="4"/>
      <c r="Y213" s="4"/>
      <c r="Z213" s="4"/>
    </row>
    <row r="214" ht="12.75" customHeight="1">
      <c r="A214" s="14"/>
      <c r="B214" s="21"/>
      <c r="C214" s="21"/>
      <c r="D214" s="14"/>
      <c r="E214" s="32"/>
      <c r="F214" s="32"/>
      <c r="G214" s="2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7"/>
      <c r="S214" s="7"/>
      <c r="T214" s="4"/>
      <c r="U214" s="4"/>
      <c r="V214" s="4"/>
      <c r="W214" s="4"/>
      <c r="X214" s="4"/>
      <c r="Y214" s="4"/>
      <c r="Z214" s="4"/>
    </row>
    <row r="215" ht="12.75" customHeight="1">
      <c r="A215" s="14"/>
      <c r="B215" s="21"/>
      <c r="C215" s="21"/>
      <c r="D215" s="14"/>
      <c r="E215" s="32"/>
      <c r="F215" s="32"/>
      <c r="G215" s="2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7"/>
      <c r="S215" s="7"/>
      <c r="T215" s="4"/>
      <c r="U215" s="4"/>
      <c r="V215" s="4"/>
      <c r="W215" s="4"/>
      <c r="X215" s="4"/>
      <c r="Y215" s="4"/>
      <c r="Z215" s="4"/>
    </row>
    <row r="216" ht="12.75" customHeight="1">
      <c r="A216" s="14"/>
      <c r="B216" s="21"/>
      <c r="C216" s="21"/>
      <c r="D216" s="14"/>
      <c r="E216" s="32"/>
      <c r="F216" s="32"/>
      <c r="G216" s="2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7"/>
      <c r="S216" s="7"/>
      <c r="T216" s="4"/>
      <c r="U216" s="4"/>
      <c r="V216" s="4"/>
      <c r="W216" s="4"/>
      <c r="X216" s="4"/>
      <c r="Y216" s="4"/>
      <c r="Z216" s="4"/>
    </row>
    <row r="217" ht="12.75" customHeight="1">
      <c r="A217" s="14"/>
      <c r="B217" s="21"/>
      <c r="C217" s="21"/>
      <c r="D217" s="14"/>
      <c r="E217" s="32"/>
      <c r="F217" s="32"/>
      <c r="G217" s="2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7"/>
      <c r="S217" s="7"/>
      <c r="T217" s="4"/>
      <c r="U217" s="4"/>
      <c r="V217" s="4"/>
      <c r="W217" s="4"/>
      <c r="X217" s="4"/>
      <c r="Y217" s="4"/>
      <c r="Z217" s="4"/>
    </row>
    <row r="218" ht="12.75" customHeight="1">
      <c r="A218" s="14"/>
      <c r="B218" s="21"/>
      <c r="C218" s="21"/>
      <c r="D218" s="14"/>
      <c r="E218" s="32"/>
      <c r="F218" s="32"/>
      <c r="G218" s="2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7"/>
      <c r="S218" s="7"/>
      <c r="T218" s="4"/>
      <c r="U218" s="4"/>
      <c r="V218" s="4"/>
      <c r="W218" s="4"/>
      <c r="X218" s="4"/>
      <c r="Y218" s="4"/>
      <c r="Z218" s="4"/>
    </row>
    <row r="219" ht="12.75" customHeight="1">
      <c r="A219" s="14"/>
      <c r="B219" s="21"/>
      <c r="C219" s="21"/>
      <c r="D219" s="14"/>
      <c r="E219" s="32"/>
      <c r="F219" s="32"/>
      <c r="G219" s="2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7"/>
      <c r="S219" s="7"/>
      <c r="T219" s="4"/>
      <c r="U219" s="4"/>
      <c r="V219" s="4"/>
      <c r="W219" s="4"/>
      <c r="X219" s="4"/>
      <c r="Y219" s="4"/>
      <c r="Z219" s="4"/>
    </row>
    <row r="220" ht="12.75" customHeight="1">
      <c r="A220" s="14"/>
      <c r="B220" s="21"/>
      <c r="C220" s="21"/>
      <c r="D220" s="14"/>
      <c r="E220" s="32"/>
      <c r="F220" s="32"/>
      <c r="G220" s="2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7"/>
      <c r="S220" s="7"/>
      <c r="T220" s="4"/>
      <c r="U220" s="4"/>
      <c r="V220" s="4"/>
      <c r="W220" s="4"/>
      <c r="X220" s="4"/>
      <c r="Y220" s="4"/>
      <c r="Z220" s="4"/>
    </row>
    <row r="221" ht="12.75" customHeight="1">
      <c r="A221" s="14"/>
      <c r="B221" s="21"/>
      <c r="C221" s="21"/>
      <c r="D221" s="14"/>
      <c r="E221" s="32"/>
      <c r="F221" s="32"/>
      <c r="G221" s="2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7"/>
      <c r="S221" s="7"/>
      <c r="T221" s="4"/>
      <c r="U221" s="4"/>
      <c r="V221" s="4"/>
      <c r="W221" s="4"/>
      <c r="X221" s="4"/>
      <c r="Y221" s="4"/>
      <c r="Z221" s="4"/>
    </row>
    <row r="222" ht="12.75" customHeight="1">
      <c r="A222" s="14"/>
      <c r="B222" s="21"/>
      <c r="C222" s="21"/>
      <c r="D222" s="14"/>
      <c r="E222" s="32"/>
      <c r="F222" s="32"/>
      <c r="G222" s="2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7"/>
      <c r="S222" s="7"/>
      <c r="T222" s="4"/>
      <c r="U222" s="4"/>
      <c r="V222" s="4"/>
      <c r="W222" s="4"/>
      <c r="X222" s="4"/>
      <c r="Y222" s="4"/>
      <c r="Z222" s="4"/>
    </row>
    <row r="223" ht="12.75" customHeight="1">
      <c r="A223" s="14"/>
      <c r="B223" s="21"/>
      <c r="C223" s="21"/>
      <c r="D223" s="14"/>
      <c r="E223" s="32"/>
      <c r="F223" s="32"/>
      <c r="G223" s="2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7"/>
      <c r="S223" s="7"/>
      <c r="T223" s="4"/>
      <c r="U223" s="4"/>
      <c r="V223" s="4"/>
      <c r="W223" s="4"/>
      <c r="X223" s="4"/>
      <c r="Y223" s="4"/>
      <c r="Z223" s="4"/>
    </row>
    <row r="224" ht="12.75" customHeight="1">
      <c r="A224" s="14"/>
      <c r="B224" s="21"/>
      <c r="C224" s="21"/>
      <c r="D224" s="14"/>
      <c r="E224" s="32"/>
      <c r="F224" s="32"/>
      <c r="G224" s="2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7"/>
      <c r="S224" s="7"/>
      <c r="T224" s="4"/>
      <c r="U224" s="4"/>
      <c r="V224" s="4"/>
      <c r="W224" s="4"/>
      <c r="X224" s="4"/>
      <c r="Y224" s="4"/>
      <c r="Z224" s="4"/>
    </row>
    <row r="225" ht="12.75" customHeight="1">
      <c r="A225" s="14"/>
      <c r="B225" s="21"/>
      <c r="C225" s="21"/>
      <c r="D225" s="14"/>
      <c r="E225" s="32"/>
      <c r="F225" s="32"/>
      <c r="G225" s="2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7"/>
      <c r="S225" s="7"/>
      <c r="T225" s="4"/>
      <c r="U225" s="4"/>
      <c r="V225" s="4"/>
      <c r="W225" s="4"/>
      <c r="X225" s="4"/>
      <c r="Y225" s="4"/>
      <c r="Z225" s="4"/>
    </row>
    <row r="226" ht="12.75" customHeight="1">
      <c r="A226" s="14"/>
      <c r="B226" s="21"/>
      <c r="C226" s="21"/>
      <c r="D226" s="14"/>
      <c r="E226" s="32"/>
      <c r="F226" s="32"/>
      <c r="G226" s="2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7"/>
      <c r="S226" s="7"/>
      <c r="T226" s="4"/>
      <c r="U226" s="4"/>
      <c r="V226" s="4"/>
      <c r="W226" s="4"/>
      <c r="X226" s="4"/>
      <c r="Y226" s="4"/>
      <c r="Z226" s="4"/>
    </row>
    <row r="227" ht="12.75" customHeight="1">
      <c r="A227" s="14"/>
      <c r="B227" s="21"/>
      <c r="C227" s="21"/>
      <c r="D227" s="14"/>
      <c r="E227" s="32"/>
      <c r="F227" s="32"/>
      <c r="G227" s="2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7"/>
      <c r="S227" s="7"/>
      <c r="T227" s="4"/>
      <c r="U227" s="4"/>
      <c r="V227" s="4"/>
      <c r="W227" s="4"/>
      <c r="X227" s="4"/>
      <c r="Y227" s="4"/>
      <c r="Z227" s="4"/>
    </row>
    <row r="228" ht="12.75" customHeight="1">
      <c r="A228" s="14"/>
      <c r="B228" s="21"/>
      <c r="C228" s="21"/>
      <c r="D228" s="14"/>
      <c r="E228" s="32"/>
      <c r="F228" s="32"/>
      <c r="G228" s="2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7"/>
      <c r="S228" s="7"/>
      <c r="T228" s="4"/>
      <c r="U228" s="4"/>
      <c r="V228" s="4"/>
      <c r="W228" s="4"/>
      <c r="X228" s="4"/>
      <c r="Y228" s="4"/>
      <c r="Z228" s="4"/>
    </row>
    <row r="229" ht="12.75" customHeight="1">
      <c r="A229" s="14"/>
      <c r="B229" s="21"/>
      <c r="C229" s="21"/>
      <c r="D229" s="14"/>
      <c r="E229" s="32"/>
      <c r="F229" s="32"/>
      <c r="G229" s="2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7"/>
      <c r="S229" s="7"/>
      <c r="T229" s="4"/>
      <c r="U229" s="4"/>
      <c r="V229" s="4"/>
      <c r="W229" s="4"/>
      <c r="X229" s="4"/>
      <c r="Y229" s="4"/>
      <c r="Z229" s="4"/>
    </row>
    <row r="230" ht="12.75" customHeight="1">
      <c r="A230" s="14"/>
      <c r="B230" s="21"/>
      <c r="C230" s="21"/>
      <c r="D230" s="14"/>
      <c r="E230" s="32"/>
      <c r="F230" s="32"/>
      <c r="G230" s="2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7"/>
      <c r="S230" s="7"/>
      <c r="T230" s="4"/>
      <c r="U230" s="4"/>
      <c r="V230" s="4"/>
      <c r="W230" s="4"/>
      <c r="X230" s="4"/>
      <c r="Y230" s="4"/>
      <c r="Z230" s="4"/>
    </row>
    <row r="231" ht="12.75" customHeight="1">
      <c r="A231" s="14"/>
      <c r="B231" s="21"/>
      <c r="C231" s="21"/>
      <c r="D231" s="14"/>
      <c r="E231" s="32"/>
      <c r="F231" s="32"/>
      <c r="G231" s="2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7"/>
      <c r="S231" s="7"/>
      <c r="T231" s="4"/>
      <c r="U231" s="4"/>
      <c r="V231" s="4"/>
      <c r="W231" s="4"/>
      <c r="X231" s="4"/>
      <c r="Y231" s="4"/>
      <c r="Z231" s="4"/>
    </row>
    <row r="232" ht="12.75" customHeight="1">
      <c r="A232" s="14"/>
      <c r="B232" s="21"/>
      <c r="C232" s="21"/>
      <c r="D232" s="14"/>
      <c r="E232" s="32"/>
      <c r="F232" s="32"/>
      <c r="G232" s="2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7"/>
      <c r="S232" s="7"/>
      <c r="T232" s="4"/>
      <c r="U232" s="4"/>
      <c r="V232" s="4"/>
      <c r="W232" s="4"/>
      <c r="X232" s="4"/>
      <c r="Y232" s="4"/>
      <c r="Z232" s="4"/>
    </row>
    <row r="233" ht="12.75" customHeight="1">
      <c r="A233" s="14"/>
      <c r="B233" s="21"/>
      <c r="C233" s="21"/>
      <c r="D233" s="14"/>
      <c r="E233" s="32"/>
      <c r="F233" s="32"/>
      <c r="G233" s="2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7"/>
      <c r="S233" s="7"/>
      <c r="T233" s="4"/>
      <c r="U233" s="4"/>
      <c r="V233" s="4"/>
      <c r="W233" s="4"/>
      <c r="X233" s="4"/>
      <c r="Y233" s="4"/>
      <c r="Z233" s="4"/>
    </row>
    <row r="234" ht="12.75" customHeight="1">
      <c r="A234" s="14"/>
      <c r="B234" s="21"/>
      <c r="C234" s="21"/>
      <c r="D234" s="14"/>
      <c r="E234" s="32"/>
      <c r="F234" s="32"/>
      <c r="G234" s="2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7"/>
      <c r="S234" s="7"/>
      <c r="T234" s="4"/>
      <c r="U234" s="4"/>
      <c r="V234" s="4"/>
      <c r="W234" s="4"/>
      <c r="X234" s="4"/>
      <c r="Y234" s="4"/>
      <c r="Z234" s="4"/>
    </row>
    <row r="235" ht="12.75" customHeight="1">
      <c r="A235" s="14"/>
      <c r="B235" s="21"/>
      <c r="C235" s="21"/>
      <c r="D235" s="14"/>
      <c r="E235" s="32"/>
      <c r="F235" s="32"/>
      <c r="G235" s="2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7"/>
      <c r="S235" s="7"/>
      <c r="T235" s="4"/>
      <c r="U235" s="4"/>
      <c r="V235" s="4"/>
      <c r="W235" s="4"/>
      <c r="X235" s="4"/>
      <c r="Y235" s="4"/>
      <c r="Z235" s="4"/>
    </row>
    <row r="236" ht="12.75" customHeight="1">
      <c r="A236" s="14"/>
      <c r="B236" s="21"/>
      <c r="C236" s="21"/>
      <c r="D236" s="14"/>
      <c r="E236" s="32"/>
      <c r="F236" s="32"/>
      <c r="G236" s="2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7"/>
      <c r="S236" s="7"/>
      <c r="T236" s="4"/>
      <c r="U236" s="4"/>
      <c r="V236" s="4"/>
      <c r="W236" s="4"/>
      <c r="X236" s="4"/>
      <c r="Y236" s="4"/>
      <c r="Z236" s="4"/>
    </row>
    <row r="237" ht="12.75" customHeight="1">
      <c r="A237" s="14"/>
      <c r="B237" s="21"/>
      <c r="C237" s="21"/>
      <c r="D237" s="14"/>
      <c r="E237" s="32"/>
      <c r="F237" s="32"/>
      <c r="G237" s="2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7"/>
      <c r="S237" s="7"/>
      <c r="T237" s="4"/>
      <c r="U237" s="4"/>
      <c r="V237" s="4"/>
      <c r="W237" s="4"/>
      <c r="X237" s="4"/>
      <c r="Y237" s="4"/>
      <c r="Z237" s="4"/>
    </row>
    <row r="238" ht="12.75" customHeight="1">
      <c r="A238" s="14"/>
      <c r="B238" s="21"/>
      <c r="C238" s="21"/>
      <c r="D238" s="14"/>
      <c r="E238" s="32"/>
      <c r="F238" s="32"/>
      <c r="G238" s="2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7"/>
      <c r="S238" s="7"/>
      <c r="T238" s="4"/>
      <c r="U238" s="4"/>
      <c r="V238" s="4"/>
      <c r="W238" s="4"/>
      <c r="X238" s="4"/>
      <c r="Y238" s="4"/>
      <c r="Z238" s="4"/>
    </row>
    <row r="239" ht="12.75" customHeight="1">
      <c r="A239" s="14"/>
      <c r="B239" s="21"/>
      <c r="C239" s="21"/>
      <c r="D239" s="14"/>
      <c r="E239" s="32"/>
      <c r="F239" s="32"/>
      <c r="G239" s="2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7"/>
      <c r="S239" s="7"/>
      <c r="T239" s="4"/>
      <c r="U239" s="4"/>
      <c r="V239" s="4"/>
      <c r="W239" s="4"/>
      <c r="X239" s="4"/>
      <c r="Y239" s="4"/>
      <c r="Z239" s="4"/>
    </row>
    <row r="240" ht="12.75" customHeight="1">
      <c r="A240" s="14"/>
      <c r="B240" s="21"/>
      <c r="C240" s="21"/>
      <c r="D240" s="14"/>
      <c r="E240" s="32"/>
      <c r="F240" s="32"/>
      <c r="G240" s="2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7"/>
      <c r="S240" s="7"/>
      <c r="T240" s="4"/>
      <c r="U240" s="4"/>
      <c r="V240" s="4"/>
      <c r="W240" s="4"/>
      <c r="X240" s="4"/>
      <c r="Y240" s="4"/>
      <c r="Z240" s="4"/>
    </row>
    <row r="241" ht="12.75" customHeight="1">
      <c r="A241" s="14"/>
      <c r="B241" s="21"/>
      <c r="C241" s="21"/>
      <c r="D241" s="14"/>
      <c r="E241" s="32"/>
      <c r="F241" s="32"/>
      <c r="G241" s="2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7"/>
      <c r="S241" s="7"/>
      <c r="T241" s="4"/>
      <c r="U241" s="4"/>
      <c r="V241" s="4"/>
      <c r="W241" s="4"/>
      <c r="X241" s="4"/>
      <c r="Y241" s="4"/>
      <c r="Z241" s="4"/>
    </row>
    <row r="242" ht="12.75" customHeight="1">
      <c r="A242" s="14"/>
      <c r="B242" s="21"/>
      <c r="C242" s="21"/>
      <c r="D242" s="14"/>
      <c r="E242" s="32"/>
      <c r="F242" s="32"/>
      <c r="G242" s="2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7"/>
      <c r="S242" s="7"/>
      <c r="T242" s="4"/>
      <c r="U242" s="4"/>
      <c r="V242" s="4"/>
      <c r="W242" s="4"/>
      <c r="X242" s="4"/>
      <c r="Y242" s="4"/>
      <c r="Z242" s="4"/>
    </row>
    <row r="243" ht="12.75" customHeight="1">
      <c r="A243" s="14"/>
      <c r="B243" s="21"/>
      <c r="C243" s="21"/>
      <c r="D243" s="14"/>
      <c r="E243" s="32"/>
      <c r="F243" s="32"/>
      <c r="G243" s="2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7"/>
      <c r="S243" s="7"/>
      <c r="T243" s="4"/>
      <c r="U243" s="4"/>
      <c r="V243" s="4"/>
      <c r="W243" s="4"/>
      <c r="X243" s="4"/>
      <c r="Y243" s="4"/>
      <c r="Z243" s="4"/>
    </row>
    <row r="244" ht="12.75" customHeight="1">
      <c r="A244" s="14"/>
      <c r="B244" s="21"/>
      <c r="C244" s="21"/>
      <c r="D244" s="14"/>
      <c r="E244" s="32"/>
      <c r="F244" s="32"/>
      <c r="G244" s="2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7"/>
      <c r="S244" s="7"/>
      <c r="T244" s="4"/>
      <c r="U244" s="4"/>
      <c r="V244" s="4"/>
      <c r="W244" s="4"/>
      <c r="X244" s="4"/>
      <c r="Y244" s="4"/>
      <c r="Z244" s="4"/>
    </row>
    <row r="245" ht="12.75" customHeight="1">
      <c r="A245" s="14"/>
      <c r="B245" s="21"/>
      <c r="C245" s="21"/>
      <c r="D245" s="14"/>
      <c r="E245" s="32"/>
      <c r="F245" s="32"/>
      <c r="G245" s="2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7"/>
      <c r="S245" s="7"/>
      <c r="T245" s="4"/>
      <c r="U245" s="4"/>
      <c r="V245" s="4"/>
      <c r="W245" s="4"/>
      <c r="X245" s="4"/>
      <c r="Y245" s="4"/>
      <c r="Z245" s="4"/>
    </row>
    <row r="246" ht="12.75" customHeight="1">
      <c r="A246" s="14"/>
      <c r="B246" s="21"/>
      <c r="C246" s="21"/>
      <c r="D246" s="14"/>
      <c r="E246" s="32"/>
      <c r="F246" s="32"/>
      <c r="G246" s="2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7"/>
      <c r="S246" s="7"/>
      <c r="T246" s="4"/>
      <c r="U246" s="4"/>
      <c r="V246" s="4"/>
      <c r="W246" s="4"/>
      <c r="X246" s="4"/>
      <c r="Y246" s="4"/>
      <c r="Z246" s="4"/>
    </row>
    <row r="247" ht="12.75" customHeight="1">
      <c r="A247" s="14"/>
      <c r="B247" s="21"/>
      <c r="C247" s="21"/>
      <c r="D247" s="14"/>
      <c r="E247" s="32"/>
      <c r="F247" s="32"/>
      <c r="G247" s="2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7"/>
      <c r="S247" s="7"/>
      <c r="T247" s="4"/>
      <c r="U247" s="4"/>
      <c r="V247" s="4"/>
      <c r="W247" s="4"/>
      <c r="X247" s="4"/>
      <c r="Y247" s="4"/>
      <c r="Z247" s="4"/>
    </row>
    <row r="248" ht="12.75" customHeight="1">
      <c r="A248" s="14"/>
      <c r="B248" s="21"/>
      <c r="C248" s="21"/>
      <c r="D248" s="14"/>
      <c r="E248" s="32"/>
      <c r="F248" s="32"/>
      <c r="G248" s="2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7"/>
      <c r="S248" s="7"/>
      <c r="T248" s="4"/>
      <c r="U248" s="4"/>
      <c r="V248" s="4"/>
      <c r="W248" s="4"/>
      <c r="X248" s="4"/>
      <c r="Y248" s="4"/>
      <c r="Z248" s="4"/>
    </row>
    <row r="249" ht="12.75" customHeight="1">
      <c r="A249" s="14"/>
      <c r="B249" s="21"/>
      <c r="C249" s="21"/>
      <c r="D249" s="14"/>
      <c r="E249" s="32"/>
      <c r="F249" s="32"/>
      <c r="G249" s="2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7"/>
      <c r="S249" s="7"/>
      <c r="T249" s="4"/>
      <c r="U249" s="4"/>
      <c r="V249" s="4"/>
      <c r="W249" s="4"/>
      <c r="X249" s="4"/>
      <c r="Y249" s="4"/>
      <c r="Z249" s="4"/>
    </row>
    <row r="250" ht="12.75" customHeight="1">
      <c r="A250" s="14"/>
      <c r="B250" s="21"/>
      <c r="C250" s="21"/>
      <c r="D250" s="14"/>
      <c r="E250" s="32"/>
      <c r="F250" s="32"/>
      <c r="G250" s="2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7"/>
      <c r="S250" s="7"/>
      <c r="T250" s="4"/>
      <c r="U250" s="4"/>
      <c r="V250" s="4"/>
      <c r="W250" s="4"/>
      <c r="X250" s="4"/>
      <c r="Y250" s="4"/>
      <c r="Z250" s="4"/>
    </row>
    <row r="251" ht="12.75" customHeight="1">
      <c r="A251" s="14"/>
      <c r="B251" s="21"/>
      <c r="C251" s="21"/>
      <c r="D251" s="14"/>
      <c r="E251" s="32"/>
      <c r="F251" s="32"/>
      <c r="G251" s="2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7"/>
      <c r="S251" s="7"/>
      <c r="T251" s="4"/>
      <c r="U251" s="4"/>
      <c r="V251" s="4"/>
      <c r="W251" s="4"/>
      <c r="X251" s="4"/>
      <c r="Y251" s="4"/>
      <c r="Z251" s="4"/>
    </row>
    <row r="252" ht="12.75" customHeight="1">
      <c r="A252" s="14"/>
      <c r="B252" s="21"/>
      <c r="C252" s="21"/>
      <c r="D252" s="14"/>
      <c r="E252" s="32"/>
      <c r="F252" s="32"/>
      <c r="G252" s="2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7"/>
      <c r="S252" s="7"/>
      <c r="T252" s="4"/>
      <c r="U252" s="4"/>
      <c r="V252" s="4"/>
      <c r="W252" s="4"/>
      <c r="X252" s="4"/>
      <c r="Y252" s="4"/>
      <c r="Z252" s="4"/>
    </row>
    <row r="253" ht="12.75" customHeight="1">
      <c r="A253" s="14"/>
      <c r="B253" s="21"/>
      <c r="C253" s="21"/>
      <c r="D253" s="14"/>
      <c r="E253" s="32"/>
      <c r="F253" s="32"/>
      <c r="G253" s="2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7"/>
      <c r="S253" s="7"/>
      <c r="T253" s="4"/>
      <c r="U253" s="4"/>
      <c r="V253" s="4"/>
      <c r="W253" s="4"/>
      <c r="X253" s="4"/>
      <c r="Y253" s="4"/>
      <c r="Z253" s="4"/>
    </row>
    <row r="254" ht="12.75" customHeight="1">
      <c r="A254" s="14"/>
      <c r="B254" s="21"/>
      <c r="C254" s="21"/>
      <c r="D254" s="14"/>
      <c r="E254" s="32"/>
      <c r="F254" s="32"/>
      <c r="G254" s="2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7"/>
      <c r="S254" s="7"/>
      <c r="T254" s="4"/>
      <c r="U254" s="4"/>
      <c r="V254" s="4"/>
      <c r="W254" s="4"/>
      <c r="X254" s="4"/>
      <c r="Y254" s="4"/>
      <c r="Z254" s="4"/>
    </row>
    <row r="255" ht="12.75" customHeight="1">
      <c r="A255" s="14"/>
      <c r="B255" s="21"/>
      <c r="C255" s="21"/>
      <c r="D255" s="14"/>
      <c r="E255" s="32"/>
      <c r="F255" s="32"/>
      <c r="G255" s="2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7"/>
      <c r="S255" s="7"/>
      <c r="T255" s="4"/>
      <c r="U255" s="4"/>
      <c r="V255" s="4"/>
      <c r="W255" s="4"/>
      <c r="X255" s="4"/>
      <c r="Y255" s="4"/>
      <c r="Z255" s="4"/>
    </row>
    <row r="256" ht="12.75" customHeight="1">
      <c r="A256" s="14"/>
      <c r="B256" s="21"/>
      <c r="C256" s="21"/>
      <c r="D256" s="14"/>
      <c r="E256" s="32"/>
      <c r="F256" s="32"/>
      <c r="G256" s="2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7"/>
      <c r="S256" s="7"/>
      <c r="T256" s="4"/>
      <c r="U256" s="4"/>
      <c r="V256" s="4"/>
      <c r="W256" s="4"/>
      <c r="X256" s="4"/>
      <c r="Y256" s="4"/>
      <c r="Z256" s="4"/>
    </row>
    <row r="257" ht="12.75" customHeight="1">
      <c r="A257" s="14"/>
      <c r="B257" s="21"/>
      <c r="C257" s="21"/>
      <c r="D257" s="14"/>
      <c r="E257" s="32"/>
      <c r="F257" s="32"/>
      <c r="G257" s="2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7"/>
      <c r="S257" s="7"/>
      <c r="T257" s="4"/>
      <c r="U257" s="4"/>
      <c r="V257" s="4"/>
      <c r="W257" s="4"/>
      <c r="X257" s="4"/>
      <c r="Y257" s="4"/>
      <c r="Z257" s="4"/>
    </row>
    <row r="258" ht="12.75" customHeight="1">
      <c r="A258" s="14"/>
      <c r="B258" s="21"/>
      <c r="C258" s="21"/>
      <c r="D258" s="14"/>
      <c r="E258" s="32"/>
      <c r="F258" s="32"/>
      <c r="G258" s="2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7"/>
      <c r="S258" s="7"/>
      <c r="T258" s="4"/>
      <c r="U258" s="4"/>
      <c r="V258" s="4"/>
      <c r="W258" s="4"/>
      <c r="X258" s="4"/>
      <c r="Y258" s="4"/>
      <c r="Z258" s="4"/>
    </row>
    <row r="259" ht="12.75" customHeight="1">
      <c r="A259" s="14"/>
      <c r="B259" s="21"/>
      <c r="C259" s="21"/>
      <c r="D259" s="14"/>
      <c r="E259" s="32"/>
      <c r="F259" s="32"/>
      <c r="G259" s="2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7"/>
      <c r="S259" s="7"/>
      <c r="T259" s="4"/>
      <c r="U259" s="4"/>
      <c r="V259" s="4"/>
      <c r="W259" s="4"/>
      <c r="X259" s="4"/>
      <c r="Y259" s="4"/>
      <c r="Z259" s="4"/>
    </row>
    <row r="260" ht="12.75" customHeight="1">
      <c r="A260" s="14"/>
      <c r="B260" s="21"/>
      <c r="C260" s="21"/>
      <c r="D260" s="14"/>
      <c r="E260" s="32"/>
      <c r="F260" s="32"/>
      <c r="G260" s="2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7"/>
      <c r="S260" s="7"/>
      <c r="T260" s="4"/>
      <c r="U260" s="4"/>
      <c r="V260" s="4"/>
      <c r="W260" s="4"/>
      <c r="X260" s="4"/>
      <c r="Y260" s="4"/>
      <c r="Z260" s="4"/>
    </row>
    <row r="261" ht="12.75" customHeight="1">
      <c r="A261" s="14"/>
      <c r="B261" s="21"/>
      <c r="C261" s="21"/>
      <c r="D261" s="14"/>
      <c r="E261" s="32"/>
      <c r="F261" s="32"/>
      <c r="G261" s="2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7"/>
      <c r="S261" s="7"/>
      <c r="T261" s="4"/>
      <c r="U261" s="4"/>
      <c r="V261" s="4"/>
      <c r="W261" s="4"/>
      <c r="X261" s="4"/>
      <c r="Y261" s="4"/>
      <c r="Z261" s="4"/>
    </row>
    <row r="262" ht="12.75" customHeight="1">
      <c r="A262" s="14"/>
      <c r="B262" s="21"/>
      <c r="C262" s="21"/>
      <c r="D262" s="14"/>
      <c r="E262" s="32"/>
      <c r="F262" s="32"/>
      <c r="G262" s="2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7"/>
      <c r="S262" s="7"/>
      <c r="T262" s="4"/>
      <c r="U262" s="4"/>
      <c r="V262" s="4"/>
      <c r="W262" s="4"/>
      <c r="X262" s="4"/>
      <c r="Y262" s="4"/>
      <c r="Z262" s="4"/>
    </row>
    <row r="263" ht="12.75" customHeight="1">
      <c r="A263" s="14"/>
      <c r="B263" s="21"/>
      <c r="C263" s="21"/>
      <c r="D263" s="14"/>
      <c r="E263" s="32"/>
      <c r="F263" s="32"/>
      <c r="G263" s="2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7"/>
      <c r="S263" s="7"/>
      <c r="T263" s="4"/>
      <c r="U263" s="4"/>
      <c r="V263" s="4"/>
      <c r="W263" s="4"/>
      <c r="X263" s="4"/>
      <c r="Y263" s="4"/>
      <c r="Z263" s="4"/>
    </row>
    <row r="264" ht="12.75" customHeight="1">
      <c r="A264" s="14"/>
      <c r="B264" s="21"/>
      <c r="C264" s="21"/>
      <c r="D264" s="14"/>
      <c r="E264" s="32"/>
      <c r="F264" s="32"/>
      <c r="G264" s="2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7"/>
      <c r="S264" s="7"/>
      <c r="T264" s="4"/>
      <c r="U264" s="4"/>
      <c r="V264" s="4"/>
      <c r="W264" s="4"/>
      <c r="X264" s="4"/>
      <c r="Y264" s="4"/>
      <c r="Z264" s="4"/>
    </row>
    <row r="265" ht="12.75" customHeight="1">
      <c r="A265" s="14"/>
      <c r="B265" s="21"/>
      <c r="C265" s="21"/>
      <c r="D265" s="14"/>
      <c r="E265" s="32"/>
      <c r="F265" s="32"/>
      <c r="G265" s="2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7"/>
      <c r="S265" s="7"/>
      <c r="T265" s="4"/>
      <c r="U265" s="4"/>
      <c r="V265" s="4"/>
      <c r="W265" s="4"/>
      <c r="X265" s="4"/>
      <c r="Y265" s="4"/>
      <c r="Z265" s="4"/>
    </row>
    <row r="266" ht="12.75" customHeight="1">
      <c r="A266" s="14"/>
      <c r="B266" s="21"/>
      <c r="C266" s="21"/>
      <c r="D266" s="14"/>
      <c r="E266" s="32"/>
      <c r="F266" s="32"/>
      <c r="G266" s="2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7"/>
      <c r="S266" s="7"/>
      <c r="T266" s="4"/>
      <c r="U266" s="4"/>
      <c r="V266" s="4"/>
      <c r="W266" s="4"/>
      <c r="X266" s="4"/>
      <c r="Y266" s="4"/>
      <c r="Z266" s="4"/>
    </row>
    <row r="267" ht="12.75" customHeight="1">
      <c r="A267" s="14"/>
      <c r="B267" s="21"/>
      <c r="C267" s="21"/>
      <c r="D267" s="14"/>
      <c r="E267" s="32"/>
      <c r="F267" s="32"/>
      <c r="G267" s="2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7"/>
      <c r="S267" s="7"/>
      <c r="T267" s="4"/>
      <c r="U267" s="4"/>
      <c r="V267" s="4"/>
      <c r="W267" s="4"/>
      <c r="X267" s="4"/>
      <c r="Y267" s="4"/>
      <c r="Z267" s="4"/>
    </row>
    <row r="268" ht="12.75" customHeight="1">
      <c r="A268" s="14"/>
      <c r="B268" s="21"/>
      <c r="C268" s="21"/>
      <c r="D268" s="14"/>
      <c r="E268" s="32"/>
      <c r="F268" s="32"/>
      <c r="G268" s="2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7"/>
      <c r="S268" s="7"/>
      <c r="T268" s="4"/>
      <c r="U268" s="4"/>
      <c r="V268" s="4"/>
      <c r="W268" s="4"/>
      <c r="X268" s="4"/>
      <c r="Y268" s="4"/>
      <c r="Z268" s="4"/>
    </row>
    <row r="269" ht="12.75" customHeight="1">
      <c r="A269" s="14"/>
      <c r="B269" s="21"/>
      <c r="C269" s="21"/>
      <c r="D269" s="14"/>
      <c r="E269" s="32"/>
      <c r="F269" s="32"/>
      <c r="G269" s="2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7"/>
      <c r="S269" s="7"/>
      <c r="T269" s="4"/>
      <c r="U269" s="4"/>
      <c r="V269" s="4"/>
      <c r="W269" s="4"/>
      <c r="X269" s="4"/>
      <c r="Y269" s="4"/>
      <c r="Z269" s="4"/>
    </row>
    <row r="270" ht="12.75" customHeight="1">
      <c r="A270" s="14"/>
      <c r="B270" s="21"/>
      <c r="C270" s="21"/>
      <c r="D270" s="14"/>
      <c r="E270" s="32"/>
      <c r="F270" s="32"/>
      <c r="G270" s="2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7"/>
      <c r="S270" s="7"/>
      <c r="T270" s="4"/>
      <c r="U270" s="4"/>
      <c r="V270" s="4"/>
      <c r="W270" s="4"/>
      <c r="X270" s="4"/>
      <c r="Y270" s="4"/>
      <c r="Z270" s="4"/>
    </row>
    <row r="271" ht="12.75" customHeight="1">
      <c r="A271" s="14"/>
      <c r="B271" s="21"/>
      <c r="C271" s="21"/>
      <c r="D271" s="14"/>
      <c r="E271" s="32"/>
      <c r="F271" s="32"/>
      <c r="G271" s="2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7"/>
      <c r="S271" s="7"/>
      <c r="T271" s="4"/>
      <c r="U271" s="4"/>
      <c r="V271" s="4"/>
      <c r="W271" s="4"/>
      <c r="X271" s="4"/>
      <c r="Y271" s="4"/>
      <c r="Z271" s="4"/>
    </row>
    <row r="272" ht="12.75" customHeight="1">
      <c r="A272" s="14"/>
      <c r="B272" s="21"/>
      <c r="C272" s="21"/>
      <c r="D272" s="14"/>
      <c r="E272" s="32"/>
      <c r="F272" s="32"/>
      <c r="G272" s="2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7"/>
      <c r="S272" s="7"/>
      <c r="T272" s="4"/>
      <c r="U272" s="4"/>
      <c r="V272" s="4"/>
      <c r="W272" s="4"/>
      <c r="X272" s="4"/>
      <c r="Y272" s="4"/>
      <c r="Z272" s="4"/>
    </row>
    <row r="273" ht="12.75" customHeight="1">
      <c r="A273" s="14"/>
      <c r="B273" s="21"/>
      <c r="C273" s="21"/>
      <c r="D273" s="14"/>
      <c r="E273" s="32"/>
      <c r="F273" s="32"/>
      <c r="G273" s="2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7"/>
      <c r="S273" s="7"/>
      <c r="T273" s="4"/>
      <c r="U273" s="4"/>
      <c r="V273" s="4"/>
      <c r="W273" s="4"/>
      <c r="X273" s="4"/>
      <c r="Y273" s="4"/>
      <c r="Z273" s="4"/>
    </row>
    <row r="274" ht="12.75" customHeight="1">
      <c r="A274" s="14"/>
      <c r="B274" s="21"/>
      <c r="C274" s="21"/>
      <c r="D274" s="14"/>
      <c r="E274" s="32"/>
      <c r="F274" s="32"/>
      <c r="G274" s="2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7"/>
      <c r="S274" s="7"/>
      <c r="T274" s="4"/>
      <c r="U274" s="4"/>
      <c r="V274" s="4"/>
      <c r="W274" s="4"/>
      <c r="X274" s="4"/>
      <c r="Y274" s="4"/>
      <c r="Z274" s="4"/>
    </row>
    <row r="275" ht="12.75" customHeight="1">
      <c r="A275" s="14"/>
      <c r="B275" s="21"/>
      <c r="C275" s="21"/>
      <c r="D275" s="14"/>
      <c r="E275" s="32"/>
      <c r="F275" s="32"/>
      <c r="G275" s="2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7"/>
      <c r="S275" s="7"/>
      <c r="T275" s="4"/>
      <c r="U275" s="4"/>
      <c r="V275" s="4"/>
      <c r="W275" s="4"/>
      <c r="X275" s="4"/>
      <c r="Y275" s="4"/>
      <c r="Z275" s="4"/>
    </row>
    <row r="276" ht="12.75" customHeight="1">
      <c r="A276" s="14"/>
      <c r="B276" s="21"/>
      <c r="C276" s="21"/>
      <c r="D276" s="14"/>
      <c r="E276" s="32"/>
      <c r="F276" s="32"/>
      <c r="G276" s="2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7"/>
      <c r="S276" s="7"/>
      <c r="T276" s="4"/>
      <c r="U276" s="4"/>
      <c r="V276" s="4"/>
      <c r="W276" s="4"/>
      <c r="X276" s="4"/>
      <c r="Y276" s="4"/>
      <c r="Z276" s="4"/>
    </row>
    <row r="277" ht="12.75" customHeight="1">
      <c r="A277" s="14"/>
      <c r="B277" s="21"/>
      <c r="C277" s="21"/>
      <c r="D277" s="14"/>
      <c r="E277" s="32"/>
      <c r="F277" s="32"/>
      <c r="G277" s="2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7"/>
      <c r="S277" s="7"/>
      <c r="T277" s="4"/>
      <c r="U277" s="4"/>
      <c r="V277" s="4"/>
      <c r="W277" s="4"/>
      <c r="X277" s="4"/>
      <c r="Y277" s="4"/>
      <c r="Z277" s="4"/>
    </row>
    <row r="278" ht="12.75" customHeight="1">
      <c r="A278" s="14"/>
      <c r="B278" s="21"/>
      <c r="C278" s="21"/>
      <c r="D278" s="14"/>
      <c r="E278" s="32"/>
      <c r="F278" s="32"/>
      <c r="G278" s="2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7"/>
      <c r="S278" s="7"/>
      <c r="T278" s="4"/>
      <c r="U278" s="4"/>
      <c r="V278" s="4"/>
      <c r="W278" s="4"/>
      <c r="X278" s="4"/>
      <c r="Y278" s="4"/>
      <c r="Z278" s="4"/>
    </row>
    <row r="279" ht="12.75" customHeight="1">
      <c r="A279" s="14"/>
      <c r="B279" s="21"/>
      <c r="C279" s="21"/>
      <c r="D279" s="14"/>
      <c r="E279" s="32"/>
      <c r="F279" s="32"/>
      <c r="G279" s="2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7"/>
      <c r="S279" s="7"/>
      <c r="T279" s="4"/>
      <c r="U279" s="4"/>
      <c r="V279" s="4"/>
      <c r="W279" s="4"/>
      <c r="X279" s="4"/>
      <c r="Y279" s="4"/>
      <c r="Z279" s="4"/>
    </row>
    <row r="280" ht="12.75" customHeight="1">
      <c r="A280" s="14"/>
      <c r="B280" s="21"/>
      <c r="C280" s="21"/>
      <c r="D280" s="14"/>
      <c r="E280" s="32"/>
      <c r="F280" s="32"/>
      <c r="G280" s="2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7"/>
      <c r="S280" s="7"/>
      <c r="T280" s="4"/>
      <c r="U280" s="4"/>
      <c r="V280" s="4"/>
      <c r="W280" s="4"/>
      <c r="X280" s="4"/>
      <c r="Y280" s="4"/>
      <c r="Z280" s="4"/>
    </row>
    <row r="281" ht="12.75" customHeight="1">
      <c r="A281" s="14"/>
      <c r="B281" s="21"/>
      <c r="C281" s="21"/>
      <c r="D281" s="14"/>
      <c r="E281" s="32"/>
      <c r="F281" s="32"/>
      <c r="G281" s="2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7"/>
      <c r="S281" s="7"/>
      <c r="T281" s="4"/>
      <c r="U281" s="4"/>
      <c r="V281" s="4"/>
      <c r="W281" s="4"/>
      <c r="X281" s="4"/>
      <c r="Y281" s="4"/>
      <c r="Z281" s="4"/>
    </row>
    <row r="282" ht="12.75" customHeight="1">
      <c r="A282" s="14"/>
      <c r="B282" s="21"/>
      <c r="C282" s="21"/>
      <c r="D282" s="14"/>
      <c r="E282" s="32"/>
      <c r="F282" s="32"/>
      <c r="G282" s="2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7"/>
      <c r="S282" s="7"/>
      <c r="T282" s="4"/>
      <c r="U282" s="4"/>
      <c r="V282" s="4"/>
      <c r="W282" s="4"/>
      <c r="X282" s="4"/>
      <c r="Y282" s="4"/>
      <c r="Z282" s="4"/>
    </row>
    <row r="283" ht="12.75" customHeight="1">
      <c r="A283" s="14"/>
      <c r="B283" s="21"/>
      <c r="C283" s="21"/>
      <c r="D283" s="14"/>
      <c r="E283" s="32"/>
      <c r="F283" s="32"/>
      <c r="G283" s="2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7"/>
      <c r="S283" s="7"/>
      <c r="T283" s="4"/>
      <c r="U283" s="4"/>
      <c r="V283" s="4"/>
      <c r="W283" s="4"/>
      <c r="X283" s="4"/>
      <c r="Y283" s="4"/>
      <c r="Z283" s="4"/>
    </row>
    <row r="284" ht="12.75" customHeight="1">
      <c r="A284" s="14"/>
      <c r="B284" s="21"/>
      <c r="C284" s="21"/>
      <c r="D284" s="14"/>
      <c r="E284" s="32"/>
      <c r="F284" s="32"/>
      <c r="G284" s="2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7"/>
      <c r="S284" s="7"/>
      <c r="T284" s="4"/>
      <c r="U284" s="4"/>
      <c r="V284" s="4"/>
      <c r="W284" s="4"/>
      <c r="X284" s="4"/>
      <c r="Y284" s="4"/>
      <c r="Z284" s="4"/>
    </row>
    <row r="285" ht="12.75" customHeight="1">
      <c r="A285" s="14"/>
      <c r="B285" s="21"/>
      <c r="C285" s="21"/>
      <c r="D285" s="14"/>
      <c r="E285" s="32"/>
      <c r="F285" s="32"/>
      <c r="G285" s="2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7"/>
      <c r="S285" s="7"/>
      <c r="T285" s="4"/>
      <c r="U285" s="4"/>
      <c r="V285" s="4"/>
      <c r="W285" s="4"/>
      <c r="X285" s="4"/>
      <c r="Y285" s="4"/>
      <c r="Z285" s="4"/>
    </row>
    <row r="286" ht="12.75" customHeight="1">
      <c r="A286" s="14"/>
      <c r="B286" s="21"/>
      <c r="C286" s="21"/>
      <c r="D286" s="14"/>
      <c r="E286" s="32"/>
      <c r="F286" s="32"/>
      <c r="G286" s="2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7"/>
      <c r="S286" s="7"/>
      <c r="T286" s="4"/>
      <c r="U286" s="4"/>
      <c r="V286" s="4"/>
      <c r="W286" s="4"/>
      <c r="X286" s="4"/>
      <c r="Y286" s="4"/>
      <c r="Z286" s="4"/>
    </row>
    <row r="287" ht="12.75" customHeight="1">
      <c r="A287" s="14"/>
      <c r="B287" s="21"/>
      <c r="C287" s="21"/>
      <c r="D287" s="14"/>
      <c r="E287" s="32"/>
      <c r="F287" s="32"/>
      <c r="G287" s="2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7"/>
      <c r="S287" s="7"/>
      <c r="T287" s="4"/>
      <c r="U287" s="4"/>
      <c r="V287" s="4"/>
      <c r="W287" s="4"/>
      <c r="X287" s="4"/>
      <c r="Y287" s="4"/>
      <c r="Z287" s="4"/>
    </row>
    <row r="288" ht="12.75" customHeight="1">
      <c r="A288" s="14"/>
      <c r="B288" s="21"/>
      <c r="C288" s="21"/>
      <c r="D288" s="14"/>
      <c r="E288" s="32"/>
      <c r="F288" s="32"/>
      <c r="G288" s="2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7"/>
      <c r="S288" s="7"/>
      <c r="T288" s="4"/>
      <c r="U288" s="4"/>
      <c r="V288" s="4"/>
      <c r="W288" s="4"/>
      <c r="X288" s="4"/>
      <c r="Y288" s="4"/>
      <c r="Z288" s="4"/>
    </row>
    <row r="289" ht="12.75" customHeight="1">
      <c r="A289" s="14"/>
      <c r="B289" s="21"/>
      <c r="C289" s="21"/>
      <c r="D289" s="14"/>
      <c r="E289" s="32"/>
      <c r="F289" s="32"/>
      <c r="G289" s="2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7"/>
      <c r="S289" s="7"/>
      <c r="T289" s="4"/>
      <c r="U289" s="4"/>
      <c r="V289" s="4"/>
      <c r="W289" s="4"/>
      <c r="X289" s="4"/>
      <c r="Y289" s="4"/>
      <c r="Z289" s="4"/>
    </row>
    <row r="290" ht="12.75" customHeight="1">
      <c r="A290" s="14"/>
      <c r="B290" s="21"/>
      <c r="C290" s="21"/>
      <c r="D290" s="14"/>
      <c r="E290" s="32"/>
      <c r="F290" s="32"/>
      <c r="G290" s="2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7"/>
      <c r="S290" s="7"/>
      <c r="T290" s="4"/>
      <c r="U290" s="4"/>
      <c r="V290" s="4"/>
      <c r="W290" s="4"/>
      <c r="X290" s="4"/>
      <c r="Y290" s="4"/>
      <c r="Z290" s="4"/>
    </row>
    <row r="291" ht="12.75" customHeight="1">
      <c r="A291" s="14"/>
      <c r="B291" s="21"/>
      <c r="C291" s="21"/>
      <c r="D291" s="14"/>
      <c r="E291" s="32"/>
      <c r="F291" s="32"/>
      <c r="G291" s="2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7"/>
      <c r="S291" s="7"/>
      <c r="T291" s="4"/>
      <c r="U291" s="4"/>
      <c r="V291" s="4"/>
      <c r="W291" s="4"/>
      <c r="X291" s="4"/>
      <c r="Y291" s="4"/>
      <c r="Z291" s="4"/>
    </row>
    <row r="292" ht="12.75" customHeight="1">
      <c r="A292" s="14"/>
      <c r="B292" s="21"/>
      <c r="C292" s="21"/>
      <c r="D292" s="14"/>
      <c r="E292" s="32"/>
      <c r="F292" s="32"/>
      <c r="G292" s="2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7"/>
      <c r="S292" s="7"/>
      <c r="T292" s="4"/>
      <c r="U292" s="4"/>
      <c r="V292" s="4"/>
      <c r="W292" s="4"/>
      <c r="X292" s="4"/>
      <c r="Y292" s="4"/>
      <c r="Z292" s="4"/>
    </row>
    <row r="293" ht="12.75" customHeight="1">
      <c r="A293" s="14"/>
      <c r="B293" s="21"/>
      <c r="C293" s="21"/>
      <c r="D293" s="14"/>
      <c r="E293" s="32"/>
      <c r="F293" s="32"/>
      <c r="G293" s="2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7"/>
      <c r="S293" s="7"/>
      <c r="T293" s="4"/>
      <c r="U293" s="4"/>
      <c r="V293" s="4"/>
      <c r="W293" s="4"/>
      <c r="X293" s="4"/>
      <c r="Y293" s="4"/>
      <c r="Z293" s="4"/>
    </row>
    <row r="294" ht="12.75" customHeight="1">
      <c r="A294" s="14"/>
      <c r="B294" s="21"/>
      <c r="C294" s="21"/>
      <c r="D294" s="14"/>
      <c r="E294" s="32"/>
      <c r="F294" s="32"/>
      <c r="G294" s="2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7"/>
      <c r="S294" s="7"/>
      <c r="T294" s="4"/>
      <c r="U294" s="4"/>
      <c r="V294" s="4"/>
      <c r="W294" s="4"/>
      <c r="X294" s="4"/>
      <c r="Y294" s="4"/>
      <c r="Z294" s="4"/>
    </row>
    <row r="295" ht="12.75" customHeight="1">
      <c r="A295" s="14"/>
      <c r="B295" s="21"/>
      <c r="C295" s="21"/>
      <c r="D295" s="14"/>
      <c r="E295" s="32"/>
      <c r="F295" s="32"/>
      <c r="G295" s="2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7"/>
      <c r="S295" s="7"/>
      <c r="T295" s="4"/>
      <c r="U295" s="4"/>
      <c r="V295" s="4"/>
      <c r="W295" s="4"/>
      <c r="X295" s="4"/>
      <c r="Y295" s="4"/>
      <c r="Z295" s="4"/>
    </row>
    <row r="296" ht="12.75" customHeight="1">
      <c r="A296" s="14"/>
      <c r="B296" s="21"/>
      <c r="C296" s="21"/>
      <c r="D296" s="14"/>
      <c r="E296" s="32"/>
      <c r="F296" s="32"/>
      <c r="G296" s="2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7"/>
      <c r="S296" s="7"/>
      <c r="T296" s="4"/>
      <c r="U296" s="4"/>
      <c r="V296" s="4"/>
      <c r="W296" s="4"/>
      <c r="X296" s="4"/>
      <c r="Y296" s="4"/>
      <c r="Z296" s="4"/>
    </row>
    <row r="297" ht="12.75" customHeight="1">
      <c r="A297" s="14"/>
      <c r="B297" s="21"/>
      <c r="C297" s="21"/>
      <c r="D297" s="14"/>
      <c r="E297" s="32"/>
      <c r="F297" s="32"/>
      <c r="G297" s="2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7"/>
      <c r="S297" s="7"/>
      <c r="T297" s="4"/>
      <c r="U297" s="4"/>
      <c r="V297" s="4"/>
      <c r="W297" s="4"/>
      <c r="X297" s="4"/>
      <c r="Y297" s="4"/>
      <c r="Z297" s="4"/>
    </row>
    <row r="298" ht="12.75" customHeight="1">
      <c r="A298" s="14"/>
      <c r="B298" s="21"/>
      <c r="C298" s="21"/>
      <c r="D298" s="14"/>
      <c r="E298" s="32"/>
      <c r="F298" s="32"/>
      <c r="G298" s="2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7"/>
      <c r="S298" s="7"/>
      <c r="T298" s="4"/>
      <c r="U298" s="4"/>
      <c r="V298" s="4"/>
      <c r="W298" s="4"/>
      <c r="X298" s="4"/>
      <c r="Y298" s="4"/>
      <c r="Z298" s="4"/>
    </row>
    <row r="299" ht="12.75" customHeight="1">
      <c r="A299" s="14"/>
      <c r="B299" s="21"/>
      <c r="C299" s="21"/>
      <c r="D299" s="14"/>
      <c r="E299" s="32"/>
      <c r="F299" s="32"/>
      <c r="G299" s="2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7"/>
      <c r="S299" s="7"/>
      <c r="T299" s="4"/>
      <c r="U299" s="4"/>
      <c r="V299" s="4"/>
      <c r="W299" s="4"/>
      <c r="X299" s="4"/>
      <c r="Y299" s="4"/>
      <c r="Z299" s="4"/>
    </row>
    <row r="300" ht="12.75" customHeight="1">
      <c r="A300" s="14"/>
      <c r="B300" s="21"/>
      <c r="C300" s="21"/>
      <c r="D300" s="14"/>
      <c r="E300" s="32"/>
      <c r="F300" s="32"/>
      <c r="G300" s="2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7"/>
      <c r="S300" s="7"/>
      <c r="T300" s="4"/>
      <c r="U300" s="4"/>
      <c r="V300" s="4"/>
      <c r="W300" s="4"/>
      <c r="X300" s="4"/>
      <c r="Y300" s="4"/>
      <c r="Z300" s="4"/>
    </row>
    <row r="301" ht="12.75" customHeight="1">
      <c r="A301" s="14"/>
      <c r="B301" s="21"/>
      <c r="C301" s="21"/>
      <c r="D301" s="14"/>
      <c r="E301" s="32"/>
      <c r="F301" s="32"/>
      <c r="G301" s="2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7"/>
      <c r="S301" s="7"/>
      <c r="T301" s="4"/>
      <c r="U301" s="4"/>
      <c r="V301" s="4"/>
      <c r="W301" s="4"/>
      <c r="X301" s="4"/>
      <c r="Y301" s="4"/>
      <c r="Z301" s="4"/>
    </row>
    <row r="302" ht="12.75" customHeight="1">
      <c r="A302" s="14"/>
      <c r="B302" s="21"/>
      <c r="C302" s="21"/>
      <c r="D302" s="14"/>
      <c r="E302" s="32"/>
      <c r="F302" s="32"/>
      <c r="G302" s="2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7"/>
      <c r="S302" s="7"/>
      <c r="T302" s="4"/>
      <c r="U302" s="4"/>
      <c r="V302" s="4"/>
      <c r="W302" s="4"/>
      <c r="X302" s="4"/>
      <c r="Y302" s="4"/>
      <c r="Z302" s="4"/>
    </row>
    <row r="303" ht="12.75" customHeight="1">
      <c r="A303" s="14"/>
      <c r="B303" s="21"/>
      <c r="C303" s="21"/>
      <c r="D303" s="14"/>
      <c r="E303" s="32"/>
      <c r="F303" s="32"/>
      <c r="G303" s="2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7"/>
      <c r="S303" s="7"/>
      <c r="T303" s="4"/>
      <c r="U303" s="4"/>
      <c r="V303" s="4"/>
      <c r="W303" s="4"/>
      <c r="X303" s="4"/>
      <c r="Y303" s="4"/>
      <c r="Z303" s="4"/>
    </row>
    <row r="304" ht="12.75" customHeight="1">
      <c r="A304" s="14"/>
      <c r="B304" s="21"/>
      <c r="C304" s="21"/>
      <c r="D304" s="14"/>
      <c r="E304" s="32"/>
      <c r="F304" s="32"/>
      <c r="G304" s="2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7"/>
      <c r="S304" s="7"/>
      <c r="T304" s="4"/>
      <c r="U304" s="4"/>
      <c r="V304" s="4"/>
      <c r="W304" s="4"/>
      <c r="X304" s="4"/>
      <c r="Y304" s="4"/>
      <c r="Z304" s="4"/>
    </row>
    <row r="305" ht="12.75" customHeight="1">
      <c r="A305" s="14"/>
      <c r="B305" s="21"/>
      <c r="C305" s="21"/>
      <c r="D305" s="14"/>
      <c r="E305" s="32"/>
      <c r="F305" s="32"/>
      <c r="G305" s="2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7"/>
      <c r="S305" s="7"/>
      <c r="T305" s="4"/>
      <c r="U305" s="4"/>
      <c r="V305" s="4"/>
      <c r="W305" s="4"/>
      <c r="X305" s="4"/>
      <c r="Y305" s="4"/>
      <c r="Z305" s="4"/>
    </row>
    <row r="306" ht="12.75" customHeight="1">
      <c r="A306" s="14"/>
      <c r="B306" s="21"/>
      <c r="C306" s="21"/>
      <c r="D306" s="14"/>
      <c r="E306" s="32"/>
      <c r="F306" s="32"/>
      <c r="G306" s="2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7"/>
      <c r="S306" s="7"/>
      <c r="T306" s="4"/>
      <c r="U306" s="4"/>
      <c r="V306" s="4"/>
      <c r="W306" s="4"/>
      <c r="X306" s="4"/>
      <c r="Y306" s="4"/>
      <c r="Z306" s="4"/>
    </row>
    <row r="307" ht="12.75" customHeight="1">
      <c r="A307" s="14"/>
      <c r="B307" s="21"/>
      <c r="C307" s="21"/>
      <c r="D307" s="14"/>
      <c r="E307" s="32"/>
      <c r="F307" s="32"/>
      <c r="G307" s="2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7"/>
      <c r="S307" s="7"/>
      <c r="T307" s="4"/>
      <c r="U307" s="4"/>
      <c r="V307" s="4"/>
      <c r="W307" s="4"/>
      <c r="X307" s="4"/>
      <c r="Y307" s="4"/>
      <c r="Z307" s="4"/>
    </row>
    <row r="308" ht="12.75" customHeight="1">
      <c r="A308" s="14"/>
      <c r="B308" s="21"/>
      <c r="C308" s="21"/>
      <c r="D308" s="14"/>
      <c r="E308" s="32"/>
      <c r="F308" s="32"/>
      <c r="G308" s="2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7"/>
      <c r="S308" s="7"/>
      <c r="T308" s="4"/>
      <c r="U308" s="4"/>
      <c r="V308" s="4"/>
      <c r="W308" s="4"/>
      <c r="X308" s="4"/>
      <c r="Y308" s="4"/>
      <c r="Z308" s="4"/>
    </row>
    <row r="309" ht="12.75" customHeight="1">
      <c r="A309" s="14"/>
      <c r="B309" s="21"/>
      <c r="C309" s="21"/>
      <c r="D309" s="14"/>
      <c r="E309" s="32"/>
      <c r="F309" s="32"/>
      <c r="G309" s="2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7"/>
      <c r="S309" s="7"/>
      <c r="T309" s="4"/>
      <c r="U309" s="4"/>
      <c r="V309" s="4"/>
      <c r="W309" s="4"/>
      <c r="X309" s="4"/>
      <c r="Y309" s="4"/>
      <c r="Z309" s="4"/>
    </row>
    <row r="310" ht="12.75" customHeight="1">
      <c r="A310" s="14"/>
      <c r="B310" s="21"/>
      <c r="C310" s="21"/>
      <c r="D310" s="14"/>
      <c r="E310" s="32"/>
      <c r="F310" s="32"/>
      <c r="G310" s="2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7"/>
      <c r="S310" s="7"/>
      <c r="T310" s="4"/>
      <c r="U310" s="4"/>
      <c r="V310" s="4"/>
      <c r="W310" s="4"/>
      <c r="X310" s="4"/>
      <c r="Y310" s="4"/>
      <c r="Z310" s="4"/>
    </row>
    <row r="311" ht="12.75" customHeight="1">
      <c r="A311" s="14"/>
      <c r="B311" s="21"/>
      <c r="C311" s="21"/>
      <c r="D311" s="14"/>
      <c r="E311" s="32"/>
      <c r="F311" s="32"/>
      <c r="G311" s="2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7"/>
      <c r="S311" s="7"/>
      <c r="T311" s="4"/>
      <c r="U311" s="4"/>
      <c r="V311" s="4"/>
      <c r="W311" s="4"/>
      <c r="X311" s="4"/>
      <c r="Y311" s="4"/>
      <c r="Z311" s="4"/>
    </row>
    <row r="312" ht="12.75" customHeight="1">
      <c r="A312" s="14"/>
      <c r="B312" s="21"/>
      <c r="C312" s="21"/>
      <c r="D312" s="14"/>
      <c r="E312" s="32"/>
      <c r="F312" s="32"/>
      <c r="G312" s="2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7"/>
      <c r="S312" s="7"/>
      <c r="T312" s="4"/>
      <c r="U312" s="4"/>
      <c r="V312" s="4"/>
      <c r="W312" s="4"/>
      <c r="X312" s="4"/>
      <c r="Y312" s="4"/>
      <c r="Z312" s="4"/>
    </row>
    <row r="313" ht="12.75" customHeight="1">
      <c r="A313" s="14"/>
      <c r="B313" s="21"/>
      <c r="C313" s="21"/>
      <c r="D313" s="14"/>
      <c r="E313" s="32"/>
      <c r="F313" s="32"/>
      <c r="G313" s="2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7"/>
      <c r="S313" s="7"/>
      <c r="T313" s="4"/>
      <c r="U313" s="4"/>
      <c r="V313" s="4"/>
      <c r="W313" s="4"/>
      <c r="X313" s="4"/>
      <c r="Y313" s="4"/>
      <c r="Z313" s="4"/>
    </row>
    <row r="314" ht="12.75" customHeight="1">
      <c r="A314" s="14"/>
      <c r="B314" s="21"/>
      <c r="C314" s="21"/>
      <c r="D314" s="14"/>
      <c r="E314" s="32"/>
      <c r="F314" s="32"/>
      <c r="G314" s="2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7"/>
      <c r="S314" s="7"/>
      <c r="T314" s="4"/>
      <c r="U314" s="4"/>
      <c r="V314" s="4"/>
      <c r="W314" s="4"/>
      <c r="X314" s="4"/>
      <c r="Y314" s="4"/>
      <c r="Z314" s="4"/>
    </row>
    <row r="315" ht="12.75" customHeight="1">
      <c r="A315" s="14"/>
      <c r="B315" s="21"/>
      <c r="C315" s="21"/>
      <c r="D315" s="14"/>
      <c r="E315" s="32"/>
      <c r="F315" s="32"/>
      <c r="G315" s="2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7"/>
      <c r="S315" s="7"/>
      <c r="T315" s="4"/>
      <c r="U315" s="4"/>
      <c r="V315" s="4"/>
      <c r="W315" s="4"/>
      <c r="X315" s="4"/>
      <c r="Y315" s="4"/>
      <c r="Z315" s="4"/>
    </row>
    <row r="316" ht="12.75" customHeight="1">
      <c r="A316" s="14"/>
      <c r="B316" s="21"/>
      <c r="C316" s="21"/>
      <c r="D316" s="14"/>
      <c r="E316" s="32"/>
      <c r="F316" s="32"/>
      <c r="G316" s="2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7"/>
      <c r="S316" s="7"/>
      <c r="T316" s="4"/>
      <c r="U316" s="4"/>
      <c r="V316" s="4"/>
      <c r="W316" s="4"/>
      <c r="X316" s="4"/>
      <c r="Y316" s="4"/>
      <c r="Z316" s="4"/>
    </row>
    <row r="317" ht="12.75" customHeight="1">
      <c r="A317" s="14"/>
      <c r="B317" s="21"/>
      <c r="C317" s="21"/>
      <c r="D317" s="14"/>
      <c r="E317" s="32"/>
      <c r="F317" s="32"/>
      <c r="G317" s="2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7"/>
      <c r="S317" s="7"/>
      <c r="T317" s="4"/>
      <c r="U317" s="4"/>
      <c r="V317" s="4"/>
      <c r="W317" s="4"/>
      <c r="X317" s="4"/>
      <c r="Y317" s="4"/>
      <c r="Z317" s="4"/>
    </row>
    <row r="318" ht="12.75" customHeight="1">
      <c r="A318" s="14"/>
      <c r="B318" s="21"/>
      <c r="C318" s="21"/>
      <c r="D318" s="14"/>
      <c r="E318" s="32"/>
      <c r="F318" s="32"/>
      <c r="G318" s="2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7"/>
      <c r="S318" s="7"/>
      <c r="T318" s="4"/>
      <c r="U318" s="4"/>
      <c r="V318" s="4"/>
      <c r="W318" s="4"/>
      <c r="X318" s="4"/>
      <c r="Y318" s="4"/>
      <c r="Z318" s="4"/>
    </row>
    <row r="319" ht="12.75" customHeight="1">
      <c r="A319" s="14"/>
      <c r="B319" s="21"/>
      <c r="C319" s="21"/>
      <c r="D319" s="14"/>
      <c r="E319" s="32"/>
      <c r="F319" s="32"/>
      <c r="G319" s="2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7"/>
      <c r="S319" s="7"/>
      <c r="T319" s="4"/>
      <c r="U319" s="4"/>
      <c r="V319" s="4"/>
      <c r="W319" s="4"/>
      <c r="X319" s="4"/>
      <c r="Y319" s="4"/>
      <c r="Z319" s="4"/>
    </row>
    <row r="320" ht="12.75" customHeight="1">
      <c r="A320" s="14"/>
      <c r="B320" s="21"/>
      <c r="C320" s="21"/>
      <c r="D320" s="14"/>
      <c r="E320" s="32"/>
      <c r="F320" s="32"/>
      <c r="G320" s="2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7"/>
      <c r="S320" s="7"/>
      <c r="T320" s="4"/>
      <c r="U320" s="4"/>
      <c r="V320" s="4"/>
      <c r="W320" s="4"/>
      <c r="X320" s="4"/>
      <c r="Y320" s="4"/>
      <c r="Z320" s="4"/>
    </row>
    <row r="321" ht="12.75" customHeight="1">
      <c r="A321" s="14"/>
      <c r="B321" s="21"/>
      <c r="C321" s="21"/>
      <c r="D321" s="14"/>
      <c r="E321" s="32"/>
      <c r="F321" s="32"/>
      <c r="G321" s="2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7"/>
      <c r="S321" s="7"/>
      <c r="T321" s="4"/>
      <c r="U321" s="4"/>
      <c r="V321" s="4"/>
      <c r="W321" s="4"/>
      <c r="X321" s="4"/>
      <c r="Y321" s="4"/>
      <c r="Z321" s="4"/>
    </row>
    <row r="322" ht="12.75" customHeight="1">
      <c r="A322" s="14"/>
      <c r="B322" s="21"/>
      <c r="C322" s="21"/>
      <c r="D322" s="14"/>
      <c r="E322" s="32"/>
      <c r="F322" s="32"/>
      <c r="G322" s="2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7"/>
      <c r="S322" s="7"/>
      <c r="T322" s="4"/>
      <c r="U322" s="4"/>
      <c r="V322" s="4"/>
      <c r="W322" s="4"/>
      <c r="X322" s="4"/>
      <c r="Y322" s="4"/>
      <c r="Z322" s="4"/>
    </row>
    <row r="323" ht="12.75" customHeight="1">
      <c r="A323" s="14"/>
      <c r="B323" s="21"/>
      <c r="C323" s="21"/>
      <c r="D323" s="14"/>
      <c r="E323" s="32"/>
      <c r="F323" s="32"/>
      <c r="G323" s="2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7"/>
      <c r="S323" s="7"/>
      <c r="T323" s="4"/>
      <c r="U323" s="4"/>
      <c r="V323" s="4"/>
      <c r="W323" s="4"/>
      <c r="X323" s="4"/>
      <c r="Y323" s="4"/>
      <c r="Z323" s="4"/>
    </row>
    <row r="324" ht="12.75" customHeight="1">
      <c r="A324" s="14"/>
      <c r="B324" s="21"/>
      <c r="C324" s="21"/>
      <c r="D324" s="14"/>
      <c r="E324" s="32"/>
      <c r="F324" s="32"/>
      <c r="G324" s="2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7"/>
      <c r="S324" s="7"/>
      <c r="T324" s="4"/>
      <c r="U324" s="4"/>
      <c r="V324" s="4"/>
      <c r="W324" s="4"/>
      <c r="X324" s="4"/>
      <c r="Y324" s="4"/>
      <c r="Z324" s="4"/>
    </row>
    <row r="325" ht="12.75" customHeight="1">
      <c r="A325" s="14"/>
      <c r="B325" s="21"/>
      <c r="C325" s="21"/>
      <c r="D325" s="14"/>
      <c r="E325" s="32"/>
      <c r="F325" s="32"/>
      <c r="G325" s="2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7"/>
      <c r="S325" s="7"/>
      <c r="T325" s="4"/>
      <c r="U325" s="4"/>
      <c r="V325" s="4"/>
      <c r="W325" s="4"/>
      <c r="X325" s="4"/>
      <c r="Y325" s="4"/>
      <c r="Z325" s="4"/>
    </row>
    <row r="326" ht="12.75" customHeight="1">
      <c r="A326" s="14"/>
      <c r="B326" s="21"/>
      <c r="C326" s="21"/>
      <c r="D326" s="14"/>
      <c r="E326" s="32"/>
      <c r="F326" s="32"/>
      <c r="G326" s="2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7"/>
      <c r="S326" s="7"/>
      <c r="T326" s="4"/>
      <c r="U326" s="4"/>
      <c r="V326" s="4"/>
      <c r="W326" s="4"/>
      <c r="X326" s="4"/>
      <c r="Y326" s="4"/>
      <c r="Z326" s="4"/>
    </row>
    <row r="327" ht="12.75" customHeight="1">
      <c r="A327" s="14"/>
      <c r="B327" s="21"/>
      <c r="C327" s="21"/>
      <c r="D327" s="14"/>
      <c r="E327" s="32"/>
      <c r="F327" s="32"/>
      <c r="G327" s="2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7"/>
      <c r="S327" s="7"/>
      <c r="T327" s="4"/>
      <c r="U327" s="4"/>
      <c r="V327" s="4"/>
      <c r="W327" s="4"/>
      <c r="X327" s="4"/>
      <c r="Y327" s="4"/>
      <c r="Z327" s="4"/>
    </row>
    <row r="328" ht="12.75" customHeight="1">
      <c r="A328" s="14"/>
      <c r="B328" s="21"/>
      <c r="C328" s="21"/>
      <c r="D328" s="14"/>
      <c r="E328" s="32"/>
      <c r="F328" s="32"/>
      <c r="G328" s="2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7"/>
      <c r="S328" s="7"/>
      <c r="T328" s="4"/>
      <c r="U328" s="4"/>
      <c r="V328" s="4"/>
      <c r="W328" s="4"/>
      <c r="X328" s="4"/>
      <c r="Y328" s="4"/>
      <c r="Z328" s="4"/>
    </row>
    <row r="329" ht="12.75" customHeight="1">
      <c r="A329" s="14"/>
      <c r="B329" s="21"/>
      <c r="C329" s="21"/>
      <c r="D329" s="14"/>
      <c r="E329" s="32"/>
      <c r="F329" s="32"/>
      <c r="G329" s="2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7"/>
      <c r="S329" s="7"/>
      <c r="T329" s="4"/>
      <c r="U329" s="4"/>
      <c r="V329" s="4"/>
      <c r="W329" s="4"/>
      <c r="X329" s="4"/>
      <c r="Y329" s="4"/>
      <c r="Z329" s="4"/>
    </row>
    <row r="330" ht="12.75" customHeight="1">
      <c r="A330" s="14"/>
      <c r="B330" s="21"/>
      <c r="C330" s="21"/>
      <c r="D330" s="14"/>
      <c r="E330" s="32"/>
      <c r="F330" s="32"/>
      <c r="G330" s="2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7"/>
      <c r="S330" s="7"/>
      <c r="T330" s="4"/>
      <c r="U330" s="4"/>
      <c r="V330" s="4"/>
      <c r="W330" s="4"/>
      <c r="X330" s="4"/>
      <c r="Y330" s="4"/>
      <c r="Z330" s="4"/>
    </row>
    <row r="331" ht="12.75" customHeight="1">
      <c r="A331" s="14"/>
      <c r="B331" s="21"/>
      <c r="C331" s="21"/>
      <c r="D331" s="14"/>
      <c r="E331" s="32"/>
      <c r="F331" s="32"/>
      <c r="G331" s="2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7"/>
      <c r="S331" s="7"/>
      <c r="T331" s="4"/>
      <c r="U331" s="4"/>
      <c r="V331" s="4"/>
      <c r="W331" s="4"/>
      <c r="X331" s="4"/>
      <c r="Y331" s="4"/>
      <c r="Z331" s="4"/>
    </row>
    <row r="332" ht="12.75" customHeight="1">
      <c r="A332" s="14"/>
      <c r="B332" s="21"/>
      <c r="C332" s="21"/>
      <c r="D332" s="14"/>
      <c r="E332" s="32"/>
      <c r="F332" s="32"/>
      <c r="G332" s="2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7"/>
      <c r="S332" s="7"/>
      <c r="T332" s="4"/>
      <c r="U332" s="4"/>
      <c r="V332" s="4"/>
      <c r="W332" s="4"/>
      <c r="X332" s="4"/>
      <c r="Y332" s="4"/>
      <c r="Z332" s="4"/>
    </row>
    <row r="333" ht="12.75" customHeight="1">
      <c r="A333" s="14"/>
      <c r="B333" s="21"/>
      <c r="C333" s="21"/>
      <c r="D333" s="14"/>
      <c r="E333" s="32"/>
      <c r="F333" s="32"/>
      <c r="G333" s="2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7"/>
      <c r="S333" s="7"/>
      <c r="T333" s="4"/>
      <c r="U333" s="4"/>
      <c r="V333" s="4"/>
      <c r="W333" s="4"/>
      <c r="X333" s="4"/>
      <c r="Y333" s="4"/>
      <c r="Z333" s="4"/>
    </row>
    <row r="334" ht="12.75" customHeight="1">
      <c r="A334" s="14"/>
      <c r="B334" s="21"/>
      <c r="C334" s="21"/>
      <c r="D334" s="14"/>
      <c r="E334" s="32"/>
      <c r="F334" s="32"/>
      <c r="G334" s="2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7"/>
      <c r="S334" s="7"/>
      <c r="T334" s="4"/>
      <c r="U334" s="4"/>
      <c r="V334" s="4"/>
      <c r="W334" s="4"/>
      <c r="X334" s="4"/>
      <c r="Y334" s="4"/>
      <c r="Z334" s="4"/>
    </row>
    <row r="335" ht="12.75" customHeight="1">
      <c r="A335" s="14"/>
      <c r="B335" s="21"/>
      <c r="C335" s="21"/>
      <c r="D335" s="14"/>
      <c r="E335" s="32"/>
      <c r="F335" s="32"/>
      <c r="G335" s="2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7"/>
      <c r="S335" s="7"/>
      <c r="T335" s="4"/>
      <c r="U335" s="4"/>
      <c r="V335" s="4"/>
      <c r="W335" s="4"/>
      <c r="X335" s="4"/>
      <c r="Y335" s="4"/>
      <c r="Z335" s="4"/>
    </row>
    <row r="336" ht="12.75" customHeight="1">
      <c r="A336" s="14"/>
      <c r="B336" s="21"/>
      <c r="C336" s="21"/>
      <c r="D336" s="14"/>
      <c r="E336" s="32"/>
      <c r="F336" s="32"/>
      <c r="G336" s="2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7"/>
      <c r="S336" s="7"/>
      <c r="T336" s="4"/>
      <c r="U336" s="4"/>
      <c r="V336" s="4"/>
      <c r="W336" s="4"/>
      <c r="X336" s="4"/>
      <c r="Y336" s="4"/>
      <c r="Z336" s="4"/>
    </row>
    <row r="337" ht="12.75" customHeight="1">
      <c r="A337" s="14"/>
      <c r="B337" s="21"/>
      <c r="C337" s="21"/>
      <c r="D337" s="14"/>
      <c r="E337" s="32"/>
      <c r="F337" s="32"/>
      <c r="G337" s="2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7"/>
      <c r="S337" s="7"/>
      <c r="T337" s="4"/>
      <c r="U337" s="4"/>
      <c r="V337" s="4"/>
      <c r="W337" s="4"/>
      <c r="X337" s="4"/>
      <c r="Y337" s="4"/>
      <c r="Z337" s="4"/>
    </row>
    <row r="338" ht="12.75" customHeight="1">
      <c r="A338" s="14"/>
      <c r="B338" s="21"/>
      <c r="C338" s="21"/>
      <c r="D338" s="14"/>
      <c r="E338" s="32"/>
      <c r="F338" s="32"/>
      <c r="G338" s="2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7"/>
      <c r="S338" s="7"/>
      <c r="T338" s="4"/>
      <c r="U338" s="4"/>
      <c r="V338" s="4"/>
      <c r="W338" s="4"/>
      <c r="X338" s="4"/>
      <c r="Y338" s="4"/>
      <c r="Z338" s="4"/>
    </row>
    <row r="339" ht="12.75" customHeight="1">
      <c r="A339" s="14"/>
      <c r="B339" s="21"/>
      <c r="C339" s="21"/>
      <c r="D339" s="14"/>
      <c r="E339" s="32"/>
      <c r="F339" s="32"/>
      <c r="G339" s="2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7"/>
      <c r="S339" s="7"/>
      <c r="T339" s="4"/>
      <c r="U339" s="4"/>
      <c r="V339" s="4"/>
      <c r="W339" s="4"/>
      <c r="X339" s="4"/>
      <c r="Y339" s="4"/>
      <c r="Z339" s="4"/>
    </row>
    <row r="340" ht="12.75" customHeight="1">
      <c r="A340" s="14"/>
      <c r="B340" s="21"/>
      <c r="C340" s="21"/>
      <c r="D340" s="14"/>
      <c r="E340" s="32"/>
      <c r="F340" s="32"/>
      <c r="G340" s="2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7"/>
      <c r="S340" s="7"/>
      <c r="T340" s="4"/>
      <c r="U340" s="4"/>
      <c r="V340" s="4"/>
      <c r="W340" s="4"/>
      <c r="X340" s="4"/>
      <c r="Y340" s="4"/>
      <c r="Z340" s="4"/>
    </row>
    <row r="341" ht="12.75" customHeight="1">
      <c r="A341" s="14"/>
      <c r="B341" s="21"/>
      <c r="C341" s="21"/>
      <c r="D341" s="14"/>
      <c r="E341" s="32"/>
      <c r="F341" s="32"/>
      <c r="G341" s="2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7"/>
      <c r="S341" s="7"/>
      <c r="T341" s="4"/>
      <c r="U341" s="4"/>
      <c r="V341" s="4"/>
      <c r="W341" s="4"/>
      <c r="X341" s="4"/>
      <c r="Y341" s="4"/>
      <c r="Z341" s="4"/>
    </row>
    <row r="342" ht="12.75" customHeight="1">
      <c r="A342" s="14"/>
      <c r="B342" s="21"/>
      <c r="C342" s="21"/>
      <c r="D342" s="14"/>
      <c r="E342" s="32"/>
      <c r="F342" s="32"/>
      <c r="G342" s="2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7"/>
      <c r="S342" s="7"/>
      <c r="T342" s="4"/>
      <c r="U342" s="4"/>
      <c r="V342" s="4"/>
      <c r="W342" s="4"/>
      <c r="X342" s="4"/>
      <c r="Y342" s="4"/>
      <c r="Z342" s="4"/>
    </row>
    <row r="343" ht="12.75" customHeight="1">
      <c r="A343" s="14"/>
      <c r="B343" s="21"/>
      <c r="C343" s="21"/>
      <c r="D343" s="14"/>
      <c r="E343" s="32"/>
      <c r="F343" s="32"/>
      <c r="G343" s="2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7"/>
      <c r="S343" s="7"/>
      <c r="T343" s="4"/>
      <c r="U343" s="4"/>
      <c r="V343" s="4"/>
      <c r="W343" s="4"/>
      <c r="X343" s="4"/>
      <c r="Y343" s="4"/>
      <c r="Z343" s="4"/>
    </row>
    <row r="344" ht="12.75" customHeight="1">
      <c r="A344" s="14"/>
      <c r="B344" s="21"/>
      <c r="C344" s="21"/>
      <c r="D344" s="14"/>
      <c r="E344" s="32"/>
      <c r="F344" s="32"/>
      <c r="G344" s="2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7"/>
      <c r="S344" s="7"/>
      <c r="T344" s="4"/>
      <c r="U344" s="4"/>
      <c r="V344" s="4"/>
      <c r="W344" s="4"/>
      <c r="X344" s="4"/>
      <c r="Y344" s="4"/>
      <c r="Z344" s="4"/>
    </row>
    <row r="345" ht="12.75" customHeight="1">
      <c r="A345" s="14"/>
      <c r="B345" s="21"/>
      <c r="C345" s="21"/>
      <c r="D345" s="14"/>
      <c r="E345" s="32"/>
      <c r="F345" s="32"/>
      <c r="G345" s="2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7"/>
      <c r="S345" s="7"/>
      <c r="T345" s="4"/>
      <c r="U345" s="4"/>
      <c r="V345" s="4"/>
      <c r="W345" s="4"/>
      <c r="X345" s="4"/>
      <c r="Y345" s="4"/>
      <c r="Z345" s="4"/>
    </row>
    <row r="346" ht="12.75" customHeight="1">
      <c r="A346" s="14"/>
      <c r="B346" s="21"/>
      <c r="C346" s="21"/>
      <c r="D346" s="14"/>
      <c r="E346" s="32"/>
      <c r="F346" s="32"/>
      <c r="G346" s="2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7"/>
      <c r="S346" s="7"/>
      <c r="T346" s="4"/>
      <c r="U346" s="4"/>
      <c r="V346" s="4"/>
      <c r="W346" s="4"/>
      <c r="X346" s="4"/>
      <c r="Y346" s="4"/>
      <c r="Z346" s="4"/>
    </row>
    <row r="347" ht="12.75" customHeight="1">
      <c r="A347" s="14"/>
      <c r="B347" s="21"/>
      <c r="C347" s="21"/>
      <c r="D347" s="14"/>
      <c r="E347" s="32"/>
      <c r="F347" s="32"/>
      <c r="G347" s="2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7"/>
      <c r="S347" s="7"/>
      <c r="T347" s="4"/>
      <c r="U347" s="4"/>
      <c r="V347" s="4"/>
      <c r="W347" s="4"/>
      <c r="X347" s="4"/>
      <c r="Y347" s="4"/>
      <c r="Z347" s="4"/>
    </row>
    <row r="348" ht="12.75" customHeight="1">
      <c r="A348" s="14"/>
      <c r="B348" s="21"/>
      <c r="C348" s="21"/>
      <c r="D348" s="14"/>
      <c r="E348" s="32"/>
      <c r="F348" s="32"/>
      <c r="G348" s="2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7"/>
      <c r="S348" s="7"/>
      <c r="T348" s="4"/>
      <c r="U348" s="4"/>
      <c r="V348" s="4"/>
      <c r="W348" s="4"/>
      <c r="X348" s="4"/>
      <c r="Y348" s="4"/>
      <c r="Z348" s="4"/>
    </row>
    <row r="349" ht="12.75" customHeight="1">
      <c r="A349" s="14"/>
      <c r="B349" s="21"/>
      <c r="C349" s="21"/>
      <c r="D349" s="14"/>
      <c r="E349" s="32"/>
      <c r="F349" s="32"/>
      <c r="G349" s="2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7"/>
      <c r="S349" s="7"/>
      <c r="T349" s="4"/>
      <c r="U349" s="4"/>
      <c r="V349" s="4"/>
      <c r="W349" s="4"/>
      <c r="X349" s="4"/>
      <c r="Y349" s="4"/>
      <c r="Z349" s="4"/>
    </row>
    <row r="350" ht="12.75" customHeight="1">
      <c r="A350" s="14"/>
      <c r="B350" s="21"/>
      <c r="C350" s="21"/>
      <c r="D350" s="14"/>
      <c r="E350" s="32"/>
      <c r="F350" s="32"/>
      <c r="G350" s="2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7"/>
      <c r="S350" s="7"/>
      <c r="T350" s="4"/>
      <c r="U350" s="4"/>
      <c r="V350" s="4"/>
      <c r="W350" s="4"/>
      <c r="X350" s="4"/>
      <c r="Y350" s="4"/>
      <c r="Z350" s="4"/>
    </row>
    <row r="351" ht="12.75" customHeight="1">
      <c r="A351" s="14"/>
      <c r="B351" s="21"/>
      <c r="C351" s="21"/>
      <c r="D351" s="14"/>
      <c r="E351" s="32"/>
      <c r="F351" s="32"/>
      <c r="G351" s="2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7"/>
      <c r="S351" s="7"/>
      <c r="T351" s="4"/>
      <c r="U351" s="4"/>
      <c r="V351" s="4"/>
      <c r="W351" s="4"/>
      <c r="X351" s="4"/>
      <c r="Y351" s="4"/>
      <c r="Z351" s="4"/>
    </row>
    <row r="352" ht="12.75" customHeight="1">
      <c r="A352" s="14"/>
      <c r="B352" s="21"/>
      <c r="C352" s="21"/>
      <c r="D352" s="14"/>
      <c r="E352" s="32"/>
      <c r="F352" s="32"/>
      <c r="G352" s="2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7"/>
      <c r="S352" s="7"/>
      <c r="T352" s="4"/>
      <c r="U352" s="4"/>
      <c r="V352" s="4"/>
      <c r="W352" s="4"/>
      <c r="X352" s="4"/>
      <c r="Y352" s="4"/>
      <c r="Z352" s="4"/>
    </row>
    <row r="353" ht="12.75" customHeight="1">
      <c r="A353" s="14"/>
      <c r="B353" s="21"/>
      <c r="C353" s="21"/>
      <c r="D353" s="14"/>
      <c r="E353" s="32"/>
      <c r="F353" s="32"/>
      <c r="G353" s="2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7"/>
      <c r="S353" s="7"/>
      <c r="T353" s="4"/>
      <c r="U353" s="4"/>
      <c r="V353" s="4"/>
      <c r="W353" s="4"/>
      <c r="X353" s="4"/>
      <c r="Y353" s="4"/>
      <c r="Z353" s="4"/>
    </row>
    <row r="354" ht="12.75" customHeight="1">
      <c r="A354" s="14"/>
      <c r="B354" s="21"/>
      <c r="C354" s="21"/>
      <c r="D354" s="14"/>
      <c r="E354" s="32"/>
      <c r="F354" s="32"/>
      <c r="G354" s="2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7"/>
      <c r="S354" s="7"/>
      <c r="T354" s="4"/>
      <c r="U354" s="4"/>
      <c r="V354" s="4"/>
      <c r="W354" s="4"/>
      <c r="X354" s="4"/>
      <c r="Y354" s="4"/>
      <c r="Z354" s="4"/>
    </row>
    <row r="355" ht="12.75" customHeight="1">
      <c r="A355" s="14"/>
      <c r="B355" s="21"/>
      <c r="C355" s="21"/>
      <c r="D355" s="14"/>
      <c r="E355" s="32"/>
      <c r="F355" s="32"/>
      <c r="G355" s="2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7"/>
      <c r="S355" s="7"/>
      <c r="T355" s="4"/>
      <c r="U355" s="4"/>
      <c r="V355" s="4"/>
      <c r="W355" s="4"/>
      <c r="X355" s="4"/>
      <c r="Y355" s="4"/>
      <c r="Z355" s="4"/>
    </row>
    <row r="356" ht="12.75" customHeight="1">
      <c r="A356" s="14"/>
      <c r="B356" s="21"/>
      <c r="C356" s="21"/>
      <c r="D356" s="14"/>
      <c r="E356" s="32"/>
      <c r="F356" s="32"/>
      <c r="G356" s="2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7"/>
      <c r="S356" s="7"/>
      <c r="T356" s="4"/>
      <c r="U356" s="4"/>
      <c r="V356" s="4"/>
      <c r="W356" s="4"/>
      <c r="X356" s="4"/>
      <c r="Y356" s="4"/>
      <c r="Z356" s="4"/>
    </row>
    <row r="357" ht="12.75" customHeight="1">
      <c r="A357" s="14"/>
      <c r="B357" s="21"/>
      <c r="C357" s="21"/>
      <c r="D357" s="14"/>
      <c r="E357" s="32"/>
      <c r="F357" s="32"/>
      <c r="G357" s="2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7"/>
      <c r="S357" s="7"/>
      <c r="T357" s="4"/>
      <c r="U357" s="4"/>
      <c r="V357" s="4"/>
      <c r="W357" s="4"/>
      <c r="X357" s="4"/>
      <c r="Y357" s="4"/>
      <c r="Z357" s="4"/>
    </row>
    <row r="358" ht="12.75" customHeight="1">
      <c r="A358" s="14"/>
      <c r="B358" s="21"/>
      <c r="C358" s="21"/>
      <c r="D358" s="14"/>
      <c r="E358" s="32"/>
      <c r="F358" s="32"/>
      <c r="G358" s="2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7"/>
      <c r="S358" s="7"/>
      <c r="T358" s="4"/>
      <c r="U358" s="4"/>
      <c r="V358" s="4"/>
      <c r="W358" s="4"/>
      <c r="X358" s="4"/>
      <c r="Y358" s="4"/>
      <c r="Z358" s="4"/>
    </row>
    <row r="359" ht="12.75" customHeight="1">
      <c r="A359" s="14"/>
      <c r="B359" s="21"/>
      <c r="C359" s="21"/>
      <c r="D359" s="14"/>
      <c r="E359" s="32"/>
      <c r="F359" s="32"/>
      <c r="G359" s="2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7"/>
      <c r="S359" s="7"/>
      <c r="T359" s="4"/>
      <c r="U359" s="4"/>
      <c r="V359" s="4"/>
      <c r="W359" s="4"/>
      <c r="X359" s="4"/>
      <c r="Y359" s="4"/>
      <c r="Z359" s="4"/>
    </row>
    <row r="360" ht="12.75" customHeight="1">
      <c r="A360" s="14"/>
      <c r="B360" s="21"/>
      <c r="C360" s="21"/>
      <c r="D360" s="14"/>
      <c r="E360" s="32"/>
      <c r="F360" s="32"/>
      <c r="G360" s="2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7"/>
      <c r="S360" s="7"/>
      <c r="T360" s="4"/>
      <c r="U360" s="4"/>
      <c r="V360" s="4"/>
      <c r="W360" s="4"/>
      <c r="X360" s="4"/>
      <c r="Y360" s="4"/>
      <c r="Z360" s="4"/>
    </row>
    <row r="361" ht="12.75" customHeight="1">
      <c r="A361" s="14"/>
      <c r="B361" s="21"/>
      <c r="C361" s="21"/>
      <c r="D361" s="14"/>
      <c r="E361" s="32"/>
      <c r="F361" s="32"/>
      <c r="G361" s="2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7"/>
      <c r="S361" s="7"/>
      <c r="T361" s="4"/>
      <c r="U361" s="4"/>
      <c r="V361" s="4"/>
      <c r="W361" s="4"/>
      <c r="X361" s="4"/>
      <c r="Y361" s="4"/>
      <c r="Z361" s="4"/>
    </row>
    <row r="362" ht="12.75" customHeight="1">
      <c r="A362" s="14"/>
      <c r="B362" s="21"/>
      <c r="C362" s="21"/>
      <c r="D362" s="14"/>
      <c r="E362" s="32"/>
      <c r="F362" s="32"/>
      <c r="G362" s="2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7"/>
      <c r="S362" s="7"/>
      <c r="T362" s="4"/>
      <c r="U362" s="4"/>
      <c r="V362" s="4"/>
      <c r="W362" s="4"/>
      <c r="X362" s="4"/>
      <c r="Y362" s="4"/>
      <c r="Z362" s="4"/>
    </row>
    <row r="363" ht="12.75" customHeight="1">
      <c r="A363" s="14"/>
      <c r="B363" s="21"/>
      <c r="C363" s="21"/>
      <c r="D363" s="14"/>
      <c r="E363" s="32"/>
      <c r="F363" s="32"/>
      <c r="G363" s="2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7"/>
      <c r="S363" s="7"/>
      <c r="T363" s="4"/>
      <c r="U363" s="4"/>
      <c r="V363" s="4"/>
      <c r="W363" s="4"/>
      <c r="X363" s="4"/>
      <c r="Y363" s="4"/>
      <c r="Z363" s="4"/>
    </row>
    <row r="364" ht="12.75" customHeight="1">
      <c r="A364" s="14"/>
      <c r="B364" s="21"/>
      <c r="C364" s="21"/>
      <c r="D364" s="14"/>
      <c r="E364" s="32"/>
      <c r="F364" s="32"/>
      <c r="G364" s="2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7"/>
      <c r="S364" s="7"/>
      <c r="T364" s="4"/>
      <c r="U364" s="4"/>
      <c r="V364" s="4"/>
      <c r="W364" s="4"/>
      <c r="X364" s="4"/>
      <c r="Y364" s="4"/>
      <c r="Z364" s="4"/>
    </row>
    <row r="365" ht="12.75" customHeight="1">
      <c r="A365" s="14"/>
      <c r="B365" s="21"/>
      <c r="C365" s="21"/>
      <c r="D365" s="14"/>
      <c r="E365" s="32"/>
      <c r="F365" s="32"/>
      <c r="G365" s="2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7"/>
      <c r="S365" s="7"/>
      <c r="T365" s="4"/>
      <c r="U365" s="4"/>
      <c r="V365" s="4"/>
      <c r="W365" s="4"/>
      <c r="X365" s="4"/>
      <c r="Y365" s="4"/>
      <c r="Z365" s="4"/>
    </row>
    <row r="366" ht="12.75" customHeight="1">
      <c r="A366" s="14"/>
      <c r="B366" s="21"/>
      <c r="C366" s="21"/>
      <c r="D366" s="14"/>
      <c r="E366" s="32"/>
      <c r="F366" s="32"/>
      <c r="G366" s="2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7"/>
      <c r="S366" s="7"/>
      <c r="T366" s="4"/>
      <c r="U366" s="4"/>
      <c r="V366" s="4"/>
      <c r="W366" s="4"/>
      <c r="X366" s="4"/>
      <c r="Y366" s="4"/>
      <c r="Z366" s="4"/>
    </row>
    <row r="367" ht="12.75" customHeight="1">
      <c r="A367" s="14"/>
      <c r="B367" s="21"/>
      <c r="C367" s="21"/>
      <c r="D367" s="14"/>
      <c r="E367" s="32"/>
      <c r="F367" s="32"/>
      <c r="G367" s="2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7"/>
      <c r="S367" s="7"/>
      <c r="T367" s="4"/>
      <c r="U367" s="4"/>
      <c r="V367" s="4"/>
      <c r="W367" s="4"/>
      <c r="X367" s="4"/>
      <c r="Y367" s="4"/>
      <c r="Z367" s="4"/>
    </row>
    <row r="368" ht="12.75" customHeight="1">
      <c r="A368" s="14"/>
      <c r="B368" s="21"/>
      <c r="C368" s="21"/>
      <c r="D368" s="14"/>
      <c r="E368" s="32"/>
      <c r="F368" s="32"/>
      <c r="G368" s="2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7"/>
      <c r="S368" s="7"/>
      <c r="T368" s="4"/>
      <c r="U368" s="4"/>
      <c r="V368" s="4"/>
      <c r="W368" s="4"/>
      <c r="X368" s="4"/>
      <c r="Y368" s="4"/>
      <c r="Z368" s="4"/>
    </row>
    <row r="369" ht="12.75" customHeight="1">
      <c r="A369" s="14"/>
      <c r="B369" s="21"/>
      <c r="C369" s="21"/>
      <c r="D369" s="14"/>
      <c r="E369" s="32"/>
      <c r="F369" s="32"/>
      <c r="G369" s="2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7"/>
      <c r="S369" s="7"/>
      <c r="T369" s="4"/>
      <c r="U369" s="4"/>
      <c r="V369" s="4"/>
      <c r="W369" s="4"/>
      <c r="X369" s="4"/>
      <c r="Y369" s="4"/>
      <c r="Z369" s="4"/>
    </row>
    <row r="370" ht="12.75" customHeight="1">
      <c r="A370" s="14"/>
      <c r="B370" s="21"/>
      <c r="C370" s="21"/>
      <c r="D370" s="14"/>
      <c r="E370" s="32"/>
      <c r="F370" s="32"/>
      <c r="G370" s="2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7"/>
      <c r="S370" s="7"/>
      <c r="T370" s="4"/>
      <c r="U370" s="4"/>
      <c r="V370" s="4"/>
      <c r="W370" s="4"/>
      <c r="X370" s="4"/>
      <c r="Y370" s="4"/>
      <c r="Z370" s="4"/>
    </row>
    <row r="371" ht="12.75" customHeight="1">
      <c r="A371" s="14"/>
      <c r="B371" s="21"/>
      <c r="C371" s="21"/>
      <c r="D371" s="14"/>
      <c r="E371" s="32"/>
      <c r="F371" s="32"/>
      <c r="G371" s="2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7"/>
      <c r="S371" s="7"/>
      <c r="T371" s="4"/>
      <c r="U371" s="4"/>
      <c r="V371" s="4"/>
      <c r="W371" s="4"/>
      <c r="X371" s="4"/>
      <c r="Y371" s="4"/>
      <c r="Z371" s="4"/>
    </row>
    <row r="372" ht="12.75" customHeight="1">
      <c r="A372" s="14"/>
      <c r="B372" s="21"/>
      <c r="C372" s="21"/>
      <c r="D372" s="14"/>
      <c r="E372" s="32"/>
      <c r="F372" s="32"/>
      <c r="G372" s="2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7"/>
      <c r="S372" s="7"/>
      <c r="T372" s="4"/>
      <c r="U372" s="4"/>
      <c r="V372" s="4"/>
      <c r="W372" s="4"/>
      <c r="X372" s="4"/>
      <c r="Y372" s="4"/>
      <c r="Z372" s="4"/>
    </row>
    <row r="373" ht="12.75" customHeight="1">
      <c r="A373" s="14"/>
      <c r="B373" s="21"/>
      <c r="C373" s="21"/>
      <c r="D373" s="14"/>
      <c r="E373" s="32"/>
      <c r="F373" s="32"/>
      <c r="G373" s="2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7"/>
      <c r="S373" s="7"/>
      <c r="T373" s="4"/>
      <c r="U373" s="4"/>
      <c r="V373" s="4"/>
      <c r="W373" s="4"/>
      <c r="X373" s="4"/>
      <c r="Y373" s="4"/>
      <c r="Z373" s="4"/>
    </row>
    <row r="374" ht="12.75" customHeight="1">
      <c r="A374" s="14"/>
      <c r="B374" s="21"/>
      <c r="C374" s="21"/>
      <c r="D374" s="14"/>
      <c r="E374" s="32"/>
      <c r="F374" s="32"/>
      <c r="G374" s="2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7"/>
      <c r="S374" s="7"/>
      <c r="T374" s="4"/>
      <c r="U374" s="4"/>
      <c r="V374" s="4"/>
      <c r="W374" s="4"/>
      <c r="X374" s="4"/>
      <c r="Y374" s="4"/>
      <c r="Z374" s="4"/>
    </row>
    <row r="375" ht="12.75" customHeight="1">
      <c r="A375" s="14"/>
      <c r="B375" s="21"/>
      <c r="C375" s="21"/>
      <c r="D375" s="14"/>
      <c r="E375" s="32"/>
      <c r="F375" s="32"/>
      <c r="G375" s="2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7"/>
      <c r="S375" s="7"/>
      <c r="T375" s="4"/>
      <c r="U375" s="4"/>
      <c r="V375" s="4"/>
      <c r="W375" s="4"/>
      <c r="X375" s="4"/>
      <c r="Y375" s="4"/>
      <c r="Z375" s="4"/>
    </row>
    <row r="376" ht="12.75" customHeight="1">
      <c r="A376" s="14"/>
      <c r="B376" s="21"/>
      <c r="C376" s="21"/>
      <c r="D376" s="14"/>
      <c r="E376" s="32"/>
      <c r="F376" s="32"/>
      <c r="G376" s="2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7"/>
      <c r="S376" s="7"/>
      <c r="T376" s="4"/>
      <c r="U376" s="4"/>
      <c r="V376" s="4"/>
      <c r="W376" s="4"/>
      <c r="X376" s="4"/>
      <c r="Y376" s="4"/>
      <c r="Z376" s="4"/>
    </row>
    <row r="377" ht="12.75" customHeight="1">
      <c r="A377" s="14"/>
      <c r="B377" s="21"/>
      <c r="C377" s="21"/>
      <c r="D377" s="14"/>
      <c r="E377" s="32"/>
      <c r="F377" s="32"/>
      <c r="G377" s="2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7"/>
      <c r="S377" s="7"/>
      <c r="T377" s="4"/>
      <c r="U377" s="4"/>
      <c r="V377" s="4"/>
      <c r="W377" s="4"/>
      <c r="X377" s="4"/>
      <c r="Y377" s="4"/>
      <c r="Z377" s="4"/>
    </row>
    <row r="378" ht="12.75" customHeight="1">
      <c r="A378" s="14"/>
      <c r="B378" s="21"/>
      <c r="C378" s="21"/>
      <c r="D378" s="14"/>
      <c r="E378" s="32"/>
      <c r="F378" s="32"/>
      <c r="G378" s="2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7"/>
      <c r="S378" s="7"/>
      <c r="T378" s="4"/>
      <c r="U378" s="4"/>
      <c r="V378" s="4"/>
      <c r="W378" s="4"/>
      <c r="X378" s="4"/>
      <c r="Y378" s="4"/>
      <c r="Z378" s="4"/>
    </row>
    <row r="379" ht="12.75" customHeight="1">
      <c r="A379" s="14"/>
      <c r="B379" s="21"/>
      <c r="C379" s="21"/>
      <c r="D379" s="14"/>
      <c r="E379" s="32"/>
      <c r="F379" s="32"/>
      <c r="G379" s="2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7"/>
      <c r="S379" s="7"/>
      <c r="T379" s="4"/>
      <c r="U379" s="4"/>
      <c r="V379" s="4"/>
      <c r="W379" s="4"/>
      <c r="X379" s="4"/>
      <c r="Y379" s="4"/>
      <c r="Z379" s="4"/>
    </row>
    <row r="380" ht="12.75" customHeight="1">
      <c r="A380" s="14"/>
      <c r="B380" s="21"/>
      <c r="C380" s="21"/>
      <c r="D380" s="14"/>
      <c r="E380" s="32"/>
      <c r="F380" s="32"/>
      <c r="G380" s="2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7"/>
      <c r="S380" s="7"/>
      <c r="T380" s="4"/>
      <c r="U380" s="4"/>
      <c r="V380" s="4"/>
      <c r="W380" s="4"/>
      <c r="X380" s="4"/>
      <c r="Y380" s="4"/>
      <c r="Z380" s="4"/>
    </row>
    <row r="381" ht="12.75" customHeight="1">
      <c r="A381" s="14"/>
      <c r="B381" s="21"/>
      <c r="C381" s="21"/>
      <c r="D381" s="14"/>
      <c r="E381" s="32"/>
      <c r="F381" s="32"/>
      <c r="G381" s="2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7"/>
      <c r="S381" s="7"/>
      <c r="T381" s="4"/>
      <c r="U381" s="4"/>
      <c r="V381" s="4"/>
      <c r="W381" s="4"/>
      <c r="X381" s="4"/>
      <c r="Y381" s="4"/>
      <c r="Z381" s="4"/>
    </row>
    <row r="382" ht="12.75" customHeight="1">
      <c r="A382" s="14"/>
      <c r="B382" s="21"/>
      <c r="C382" s="21"/>
      <c r="D382" s="14"/>
      <c r="E382" s="32"/>
      <c r="F382" s="32"/>
      <c r="G382" s="2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7"/>
      <c r="S382" s="7"/>
      <c r="T382" s="4"/>
      <c r="U382" s="4"/>
      <c r="V382" s="4"/>
      <c r="W382" s="4"/>
      <c r="X382" s="4"/>
      <c r="Y382" s="4"/>
      <c r="Z382" s="4"/>
    </row>
    <row r="383" ht="12.75" customHeight="1">
      <c r="A383" s="14"/>
      <c r="B383" s="21"/>
      <c r="C383" s="21"/>
      <c r="D383" s="14"/>
      <c r="E383" s="32"/>
      <c r="F383" s="32"/>
      <c r="G383" s="2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7"/>
      <c r="S383" s="7"/>
      <c r="T383" s="4"/>
      <c r="U383" s="4"/>
      <c r="V383" s="4"/>
      <c r="W383" s="4"/>
      <c r="X383" s="4"/>
      <c r="Y383" s="4"/>
      <c r="Z383" s="4"/>
    </row>
    <row r="384" ht="12.75" customHeight="1">
      <c r="A384" s="14"/>
      <c r="B384" s="21"/>
      <c r="C384" s="21"/>
      <c r="D384" s="14"/>
      <c r="E384" s="32"/>
      <c r="F384" s="32"/>
      <c r="G384" s="2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7"/>
      <c r="S384" s="7"/>
      <c r="T384" s="4"/>
      <c r="U384" s="4"/>
      <c r="V384" s="4"/>
      <c r="W384" s="4"/>
      <c r="X384" s="4"/>
      <c r="Y384" s="4"/>
      <c r="Z384" s="4"/>
    </row>
    <row r="385" ht="12.75" customHeight="1">
      <c r="A385" s="14"/>
      <c r="B385" s="21"/>
      <c r="C385" s="21"/>
      <c r="D385" s="14"/>
      <c r="E385" s="32"/>
      <c r="F385" s="32"/>
      <c r="G385" s="2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7"/>
      <c r="S385" s="7"/>
      <c r="T385" s="4"/>
      <c r="U385" s="4"/>
      <c r="V385" s="4"/>
      <c r="W385" s="4"/>
      <c r="X385" s="4"/>
      <c r="Y385" s="4"/>
      <c r="Z385" s="4"/>
    </row>
    <row r="386" ht="12.75" customHeight="1">
      <c r="A386" s="14"/>
      <c r="B386" s="21"/>
      <c r="C386" s="21"/>
      <c r="D386" s="14"/>
      <c r="E386" s="32"/>
      <c r="F386" s="32"/>
      <c r="G386" s="2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7"/>
      <c r="S386" s="7"/>
      <c r="T386" s="4"/>
      <c r="U386" s="4"/>
      <c r="V386" s="4"/>
      <c r="W386" s="4"/>
      <c r="X386" s="4"/>
      <c r="Y386" s="4"/>
      <c r="Z386" s="4"/>
    </row>
    <row r="387" ht="12.75" customHeight="1">
      <c r="A387" s="14"/>
      <c r="B387" s="21"/>
      <c r="C387" s="21"/>
      <c r="D387" s="14"/>
      <c r="E387" s="32"/>
      <c r="F387" s="32"/>
      <c r="G387" s="2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7"/>
      <c r="S387" s="7"/>
      <c r="T387" s="4"/>
      <c r="U387" s="4"/>
      <c r="V387" s="4"/>
      <c r="W387" s="4"/>
      <c r="X387" s="4"/>
      <c r="Y387" s="4"/>
      <c r="Z387" s="4"/>
    </row>
    <row r="388" ht="12.75" customHeight="1">
      <c r="A388" s="14"/>
      <c r="B388" s="21"/>
      <c r="C388" s="21"/>
      <c r="D388" s="14"/>
      <c r="E388" s="32"/>
      <c r="F388" s="32"/>
      <c r="G388" s="2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7"/>
      <c r="S388" s="7"/>
      <c r="T388" s="4"/>
      <c r="U388" s="4"/>
      <c r="V388" s="4"/>
      <c r="W388" s="4"/>
      <c r="X388" s="4"/>
      <c r="Y388" s="4"/>
      <c r="Z388" s="4"/>
    </row>
    <row r="389" ht="12.75" customHeight="1">
      <c r="A389" s="14"/>
      <c r="B389" s="21"/>
      <c r="C389" s="21"/>
      <c r="D389" s="14"/>
      <c r="E389" s="32"/>
      <c r="F389" s="32"/>
      <c r="G389" s="2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7"/>
      <c r="S389" s="7"/>
      <c r="T389" s="4"/>
      <c r="U389" s="4"/>
      <c r="V389" s="4"/>
      <c r="W389" s="4"/>
      <c r="X389" s="4"/>
      <c r="Y389" s="4"/>
      <c r="Z389" s="4"/>
    </row>
    <row r="390" ht="12.75" customHeight="1">
      <c r="A390" s="14"/>
      <c r="B390" s="21"/>
      <c r="C390" s="21"/>
      <c r="D390" s="14"/>
      <c r="E390" s="32"/>
      <c r="F390" s="32"/>
      <c r="G390" s="2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7"/>
      <c r="S390" s="7"/>
      <c r="T390" s="4"/>
      <c r="U390" s="4"/>
      <c r="V390" s="4"/>
      <c r="W390" s="4"/>
      <c r="X390" s="4"/>
      <c r="Y390" s="4"/>
      <c r="Z390" s="4"/>
    </row>
    <row r="391" ht="12.75" customHeight="1">
      <c r="A391" s="14"/>
      <c r="B391" s="21"/>
      <c r="C391" s="21"/>
      <c r="D391" s="14"/>
      <c r="E391" s="32"/>
      <c r="F391" s="32"/>
      <c r="G391" s="2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7"/>
      <c r="S391" s="7"/>
      <c r="T391" s="4"/>
      <c r="U391" s="4"/>
      <c r="V391" s="4"/>
      <c r="W391" s="4"/>
      <c r="X391" s="4"/>
      <c r="Y391" s="4"/>
      <c r="Z391" s="4"/>
    </row>
    <row r="392" ht="12.75" customHeight="1">
      <c r="A392" s="14"/>
      <c r="B392" s="21"/>
      <c r="C392" s="21"/>
      <c r="D392" s="14"/>
      <c r="E392" s="32"/>
      <c r="F392" s="32"/>
      <c r="G392" s="2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7"/>
      <c r="S392" s="7"/>
      <c r="T392" s="4"/>
      <c r="U392" s="4"/>
      <c r="V392" s="4"/>
      <c r="W392" s="4"/>
      <c r="X392" s="4"/>
      <c r="Y392" s="4"/>
      <c r="Z392" s="4"/>
    </row>
    <row r="393" ht="12.75" customHeight="1">
      <c r="A393" s="14"/>
      <c r="B393" s="21"/>
      <c r="C393" s="21"/>
      <c r="D393" s="14"/>
      <c r="E393" s="32"/>
      <c r="F393" s="32"/>
      <c r="G393" s="2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7"/>
      <c r="S393" s="7"/>
      <c r="T393" s="4"/>
      <c r="U393" s="4"/>
      <c r="V393" s="4"/>
      <c r="W393" s="4"/>
      <c r="X393" s="4"/>
      <c r="Y393" s="4"/>
      <c r="Z393" s="4"/>
    </row>
    <row r="394" ht="12.75" customHeight="1">
      <c r="A394" s="14"/>
      <c r="B394" s="21"/>
      <c r="C394" s="21"/>
      <c r="D394" s="14"/>
      <c r="E394" s="32"/>
      <c r="F394" s="32"/>
      <c r="G394" s="2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7"/>
      <c r="S394" s="7"/>
      <c r="T394" s="4"/>
      <c r="U394" s="4"/>
      <c r="V394" s="4"/>
      <c r="W394" s="4"/>
      <c r="X394" s="4"/>
      <c r="Y394" s="4"/>
      <c r="Z394" s="4"/>
    </row>
    <row r="395" ht="12.75" customHeight="1">
      <c r="A395" s="14"/>
      <c r="B395" s="21"/>
      <c r="C395" s="21"/>
      <c r="D395" s="14"/>
      <c r="E395" s="32"/>
      <c r="F395" s="32"/>
      <c r="G395" s="2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7"/>
      <c r="S395" s="7"/>
      <c r="T395" s="4"/>
      <c r="U395" s="4"/>
      <c r="V395" s="4"/>
      <c r="W395" s="4"/>
      <c r="X395" s="4"/>
      <c r="Y395" s="4"/>
      <c r="Z395" s="4"/>
    </row>
    <row r="396" ht="12.75" customHeight="1">
      <c r="A396" s="14"/>
      <c r="B396" s="21"/>
      <c r="C396" s="21"/>
      <c r="D396" s="14"/>
      <c r="E396" s="32"/>
      <c r="F396" s="32"/>
      <c r="G396" s="2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7"/>
      <c r="S396" s="7"/>
      <c r="T396" s="4"/>
      <c r="U396" s="4"/>
      <c r="V396" s="4"/>
      <c r="W396" s="4"/>
      <c r="X396" s="4"/>
      <c r="Y396" s="4"/>
      <c r="Z396" s="4"/>
    </row>
    <row r="397" ht="12.75" customHeight="1">
      <c r="A397" s="14"/>
      <c r="B397" s="21"/>
      <c r="C397" s="21"/>
      <c r="D397" s="14"/>
      <c r="E397" s="32"/>
      <c r="F397" s="32"/>
      <c r="G397" s="2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7"/>
      <c r="S397" s="7"/>
      <c r="T397" s="4"/>
      <c r="U397" s="4"/>
      <c r="V397" s="4"/>
      <c r="W397" s="4"/>
      <c r="X397" s="4"/>
      <c r="Y397" s="4"/>
      <c r="Z397" s="4"/>
    </row>
    <row r="398" ht="12.75" customHeight="1">
      <c r="A398" s="14"/>
      <c r="B398" s="21"/>
      <c r="C398" s="21"/>
      <c r="D398" s="14"/>
      <c r="E398" s="32"/>
      <c r="F398" s="32"/>
      <c r="G398" s="2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7"/>
      <c r="S398" s="7"/>
      <c r="T398" s="4"/>
      <c r="U398" s="4"/>
      <c r="V398" s="4"/>
      <c r="W398" s="4"/>
      <c r="X398" s="4"/>
      <c r="Y398" s="4"/>
      <c r="Z398" s="4"/>
    </row>
    <row r="399" ht="12.75" customHeight="1">
      <c r="A399" s="14"/>
      <c r="B399" s="21"/>
      <c r="C399" s="21"/>
      <c r="D399" s="14"/>
      <c r="E399" s="32"/>
      <c r="F399" s="32"/>
      <c r="G399" s="2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7"/>
      <c r="S399" s="7"/>
      <c r="T399" s="4"/>
      <c r="U399" s="4"/>
      <c r="V399" s="4"/>
      <c r="W399" s="4"/>
      <c r="X399" s="4"/>
      <c r="Y399" s="4"/>
      <c r="Z399" s="4"/>
    </row>
    <row r="400" ht="12.75" customHeight="1">
      <c r="A400" s="14"/>
      <c r="B400" s="21"/>
      <c r="C400" s="21"/>
      <c r="D400" s="14"/>
      <c r="E400" s="32"/>
      <c r="F400" s="32"/>
      <c r="G400" s="2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7"/>
      <c r="S400" s="7"/>
      <c r="T400" s="4"/>
      <c r="U400" s="4"/>
      <c r="V400" s="4"/>
      <c r="W400" s="4"/>
      <c r="X400" s="4"/>
      <c r="Y400" s="4"/>
      <c r="Z400" s="4"/>
    </row>
    <row r="401" ht="12.75" customHeight="1">
      <c r="A401" s="14"/>
      <c r="B401" s="21"/>
      <c r="C401" s="21"/>
      <c r="D401" s="14"/>
      <c r="E401" s="32"/>
      <c r="F401" s="32"/>
      <c r="G401" s="2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7"/>
      <c r="S401" s="7"/>
      <c r="T401" s="4"/>
      <c r="U401" s="4"/>
      <c r="V401" s="4"/>
      <c r="W401" s="4"/>
      <c r="X401" s="4"/>
      <c r="Y401" s="4"/>
      <c r="Z401" s="4"/>
    </row>
    <row r="402" ht="12.75" customHeight="1">
      <c r="A402" s="14"/>
      <c r="B402" s="21"/>
      <c r="C402" s="21"/>
      <c r="D402" s="14"/>
      <c r="E402" s="32"/>
      <c r="F402" s="32"/>
      <c r="G402" s="2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7"/>
      <c r="S402" s="7"/>
      <c r="T402" s="4"/>
      <c r="U402" s="4"/>
      <c r="V402" s="4"/>
      <c r="W402" s="4"/>
      <c r="X402" s="4"/>
      <c r="Y402" s="4"/>
      <c r="Z402" s="4"/>
    </row>
    <row r="403" ht="12.75" customHeight="1">
      <c r="A403" s="14"/>
      <c r="B403" s="21"/>
      <c r="C403" s="21"/>
      <c r="D403" s="14"/>
      <c r="E403" s="32"/>
      <c r="F403" s="32"/>
      <c r="G403" s="2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7"/>
      <c r="S403" s="7"/>
      <c r="T403" s="4"/>
      <c r="U403" s="4"/>
      <c r="V403" s="4"/>
      <c r="W403" s="4"/>
      <c r="X403" s="4"/>
      <c r="Y403" s="4"/>
      <c r="Z403" s="4"/>
    </row>
    <row r="404" ht="12.75" customHeight="1">
      <c r="A404" s="14"/>
      <c r="B404" s="21"/>
      <c r="C404" s="21"/>
      <c r="D404" s="14"/>
      <c r="E404" s="32"/>
      <c r="F404" s="32"/>
      <c r="G404" s="2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7"/>
      <c r="S404" s="7"/>
      <c r="T404" s="4"/>
      <c r="U404" s="4"/>
      <c r="V404" s="4"/>
      <c r="W404" s="4"/>
      <c r="X404" s="4"/>
      <c r="Y404" s="4"/>
      <c r="Z404" s="4"/>
    </row>
    <row r="405" ht="12.75" customHeight="1">
      <c r="A405" s="14"/>
      <c r="B405" s="21"/>
      <c r="C405" s="21"/>
      <c r="D405" s="14"/>
      <c r="E405" s="32"/>
      <c r="F405" s="32"/>
      <c r="G405" s="2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7"/>
      <c r="S405" s="7"/>
      <c r="T405" s="4"/>
      <c r="U405" s="4"/>
      <c r="V405" s="4"/>
      <c r="W405" s="4"/>
      <c r="X405" s="4"/>
      <c r="Y405" s="4"/>
      <c r="Z405" s="4"/>
    </row>
    <row r="406" ht="12.75" customHeight="1">
      <c r="A406" s="14"/>
      <c r="B406" s="21"/>
      <c r="C406" s="21"/>
      <c r="D406" s="14"/>
      <c r="E406" s="32"/>
      <c r="F406" s="32"/>
      <c r="G406" s="2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7"/>
      <c r="S406" s="7"/>
      <c r="T406" s="4"/>
      <c r="U406" s="4"/>
      <c r="V406" s="4"/>
      <c r="W406" s="4"/>
      <c r="X406" s="4"/>
      <c r="Y406" s="4"/>
      <c r="Z406" s="4"/>
    </row>
    <row r="407" ht="12.75" customHeight="1">
      <c r="A407" s="14"/>
      <c r="B407" s="21"/>
      <c r="C407" s="21"/>
      <c r="D407" s="14"/>
      <c r="E407" s="32"/>
      <c r="F407" s="32"/>
      <c r="G407" s="2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7"/>
      <c r="S407" s="7"/>
      <c r="T407" s="4"/>
      <c r="U407" s="4"/>
      <c r="V407" s="4"/>
      <c r="W407" s="4"/>
      <c r="X407" s="4"/>
      <c r="Y407" s="4"/>
      <c r="Z407" s="4"/>
    </row>
    <row r="408" ht="12.75" customHeight="1">
      <c r="A408" s="14"/>
      <c r="B408" s="21"/>
      <c r="C408" s="21"/>
      <c r="D408" s="14"/>
      <c r="E408" s="32"/>
      <c r="F408" s="32"/>
      <c r="G408" s="2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7"/>
      <c r="S408" s="7"/>
      <c r="T408" s="4"/>
      <c r="U408" s="4"/>
      <c r="V408" s="4"/>
      <c r="W408" s="4"/>
      <c r="X408" s="4"/>
      <c r="Y408" s="4"/>
      <c r="Z408" s="4"/>
    </row>
    <row r="409" ht="12.75" customHeight="1">
      <c r="A409" s="14"/>
      <c r="B409" s="21"/>
      <c r="C409" s="21"/>
      <c r="D409" s="14"/>
      <c r="E409" s="32"/>
      <c r="F409" s="32"/>
      <c r="G409" s="2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7"/>
      <c r="S409" s="7"/>
      <c r="T409" s="4"/>
      <c r="U409" s="4"/>
      <c r="V409" s="4"/>
      <c r="W409" s="4"/>
      <c r="X409" s="4"/>
      <c r="Y409" s="4"/>
      <c r="Z409" s="4"/>
    </row>
    <row r="410" ht="12.75" customHeight="1">
      <c r="A410" s="14"/>
      <c r="B410" s="21"/>
      <c r="C410" s="21"/>
      <c r="D410" s="14"/>
      <c r="E410" s="32"/>
      <c r="F410" s="32"/>
      <c r="G410" s="2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7"/>
      <c r="S410" s="7"/>
      <c r="T410" s="4"/>
      <c r="U410" s="4"/>
      <c r="V410" s="4"/>
      <c r="W410" s="4"/>
      <c r="X410" s="4"/>
      <c r="Y410" s="4"/>
      <c r="Z410" s="4"/>
    </row>
    <row r="411" ht="12.75" customHeight="1">
      <c r="A411" s="14"/>
      <c r="B411" s="21"/>
      <c r="C411" s="21"/>
      <c r="D411" s="14"/>
      <c r="E411" s="32"/>
      <c r="F411" s="32"/>
      <c r="G411" s="2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7"/>
      <c r="S411" s="7"/>
      <c r="T411" s="4"/>
      <c r="U411" s="4"/>
      <c r="V411" s="4"/>
      <c r="W411" s="4"/>
      <c r="X411" s="4"/>
      <c r="Y411" s="4"/>
      <c r="Z411" s="4"/>
    </row>
    <row r="412" ht="12.75" customHeight="1">
      <c r="A412" s="14"/>
      <c r="B412" s="21"/>
      <c r="C412" s="21"/>
      <c r="D412" s="14"/>
      <c r="E412" s="32"/>
      <c r="F412" s="32"/>
      <c r="G412" s="2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7"/>
      <c r="S412" s="7"/>
      <c r="T412" s="4"/>
      <c r="U412" s="4"/>
      <c r="V412" s="4"/>
      <c r="W412" s="4"/>
      <c r="X412" s="4"/>
      <c r="Y412" s="4"/>
      <c r="Z412" s="4"/>
    </row>
    <row r="413" ht="12.75" customHeight="1">
      <c r="A413" s="14"/>
      <c r="B413" s="21"/>
      <c r="C413" s="21"/>
      <c r="D413" s="14"/>
      <c r="E413" s="32"/>
      <c r="F413" s="32"/>
      <c r="G413" s="2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7"/>
      <c r="S413" s="7"/>
      <c r="T413" s="4"/>
      <c r="U413" s="4"/>
      <c r="V413" s="4"/>
      <c r="W413" s="4"/>
      <c r="X413" s="4"/>
      <c r="Y413" s="4"/>
      <c r="Z413" s="4"/>
    </row>
    <row r="414" ht="12.75" customHeight="1">
      <c r="A414" s="14"/>
      <c r="B414" s="21"/>
      <c r="C414" s="21"/>
      <c r="D414" s="14"/>
      <c r="E414" s="32"/>
      <c r="F414" s="32"/>
      <c r="G414" s="2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7"/>
      <c r="S414" s="7"/>
      <c r="T414" s="4"/>
      <c r="U414" s="4"/>
      <c r="V414" s="4"/>
      <c r="W414" s="4"/>
      <c r="X414" s="4"/>
      <c r="Y414" s="4"/>
      <c r="Z414" s="4"/>
    </row>
    <row r="415" ht="12.75" customHeight="1">
      <c r="A415" s="14"/>
      <c r="B415" s="21"/>
      <c r="C415" s="21"/>
      <c r="D415" s="14"/>
      <c r="E415" s="32"/>
      <c r="F415" s="32"/>
      <c r="G415" s="2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7"/>
      <c r="S415" s="7"/>
      <c r="T415" s="4"/>
      <c r="U415" s="4"/>
      <c r="V415" s="4"/>
      <c r="W415" s="4"/>
      <c r="X415" s="4"/>
      <c r="Y415" s="4"/>
      <c r="Z415" s="4"/>
    </row>
    <row r="416" ht="12.75" customHeight="1">
      <c r="A416" s="14"/>
      <c r="B416" s="21"/>
      <c r="C416" s="21"/>
      <c r="D416" s="14"/>
      <c r="E416" s="32"/>
      <c r="F416" s="32"/>
      <c r="G416" s="2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7"/>
      <c r="S416" s="7"/>
      <c r="T416" s="4"/>
      <c r="U416" s="4"/>
      <c r="V416" s="4"/>
      <c r="W416" s="4"/>
      <c r="X416" s="4"/>
      <c r="Y416" s="4"/>
      <c r="Z416" s="4"/>
    </row>
    <row r="417" ht="12.75" customHeight="1">
      <c r="A417" s="14"/>
      <c r="B417" s="21"/>
      <c r="C417" s="21"/>
      <c r="D417" s="14"/>
      <c r="E417" s="32"/>
      <c r="F417" s="32"/>
      <c r="G417" s="2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7"/>
      <c r="S417" s="7"/>
      <c r="T417" s="4"/>
      <c r="U417" s="4"/>
      <c r="V417" s="4"/>
      <c r="W417" s="4"/>
      <c r="X417" s="4"/>
      <c r="Y417" s="4"/>
      <c r="Z417" s="4"/>
    </row>
    <row r="418" ht="12.75" customHeight="1">
      <c r="A418" s="14"/>
      <c r="B418" s="21"/>
      <c r="C418" s="21"/>
      <c r="D418" s="14"/>
      <c r="E418" s="32"/>
      <c r="F418" s="32"/>
      <c r="G418" s="2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7"/>
      <c r="S418" s="7"/>
      <c r="T418" s="4"/>
      <c r="U418" s="4"/>
      <c r="V418" s="4"/>
      <c r="W418" s="4"/>
      <c r="X418" s="4"/>
      <c r="Y418" s="4"/>
      <c r="Z418" s="4"/>
    </row>
    <row r="419" ht="12.75" customHeight="1">
      <c r="A419" s="14"/>
      <c r="B419" s="21"/>
      <c r="C419" s="21"/>
      <c r="D419" s="14"/>
      <c r="E419" s="32"/>
      <c r="F419" s="32"/>
      <c r="G419" s="2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7"/>
      <c r="S419" s="7"/>
      <c r="T419" s="4"/>
      <c r="U419" s="4"/>
      <c r="V419" s="4"/>
      <c r="W419" s="4"/>
      <c r="X419" s="4"/>
      <c r="Y419" s="4"/>
      <c r="Z419" s="4"/>
    </row>
    <row r="420" ht="12.75" customHeight="1">
      <c r="A420" s="14"/>
      <c r="B420" s="21"/>
      <c r="C420" s="21"/>
      <c r="D420" s="14"/>
      <c r="E420" s="32"/>
      <c r="F420" s="32"/>
      <c r="G420" s="2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7"/>
      <c r="S420" s="7"/>
      <c r="T420" s="4"/>
      <c r="U420" s="4"/>
      <c r="V420" s="4"/>
      <c r="W420" s="4"/>
      <c r="X420" s="4"/>
      <c r="Y420" s="4"/>
      <c r="Z420" s="4"/>
    </row>
    <row r="421" ht="12.75" customHeight="1">
      <c r="A421" s="14"/>
      <c r="B421" s="21"/>
      <c r="C421" s="21"/>
      <c r="D421" s="14"/>
      <c r="E421" s="32"/>
      <c r="F421" s="32"/>
      <c r="G421" s="2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7"/>
      <c r="S421" s="7"/>
      <c r="T421" s="4"/>
      <c r="U421" s="4"/>
      <c r="V421" s="4"/>
      <c r="W421" s="4"/>
      <c r="X421" s="4"/>
      <c r="Y421" s="4"/>
      <c r="Z421" s="4"/>
    </row>
    <row r="422" ht="12.75" customHeight="1">
      <c r="A422" s="14"/>
      <c r="B422" s="21"/>
      <c r="C422" s="21"/>
      <c r="D422" s="14"/>
      <c r="E422" s="32"/>
      <c r="F422" s="32"/>
      <c r="G422" s="2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7"/>
      <c r="S422" s="7"/>
      <c r="T422" s="4"/>
      <c r="U422" s="4"/>
      <c r="V422" s="4"/>
      <c r="W422" s="4"/>
      <c r="X422" s="4"/>
      <c r="Y422" s="4"/>
      <c r="Z422" s="4"/>
    </row>
    <row r="423" ht="12.75" customHeight="1">
      <c r="A423" s="14"/>
      <c r="B423" s="21"/>
      <c r="C423" s="21"/>
      <c r="D423" s="14"/>
      <c r="E423" s="32"/>
      <c r="F423" s="32"/>
      <c r="G423" s="2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7"/>
      <c r="S423" s="7"/>
      <c r="T423" s="4"/>
      <c r="U423" s="4"/>
      <c r="V423" s="4"/>
      <c r="W423" s="4"/>
      <c r="X423" s="4"/>
      <c r="Y423" s="4"/>
      <c r="Z423" s="4"/>
    </row>
    <row r="424" ht="12.75" customHeight="1">
      <c r="A424" s="14"/>
      <c r="B424" s="21"/>
      <c r="C424" s="21"/>
      <c r="D424" s="14"/>
      <c r="E424" s="32"/>
      <c r="F424" s="32"/>
      <c r="G424" s="2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7"/>
      <c r="S424" s="7"/>
      <c r="T424" s="4"/>
      <c r="U424" s="4"/>
      <c r="V424" s="4"/>
      <c r="W424" s="4"/>
      <c r="X424" s="4"/>
      <c r="Y424" s="4"/>
      <c r="Z424" s="4"/>
    </row>
    <row r="425" ht="12.75" customHeight="1">
      <c r="A425" s="14"/>
      <c r="B425" s="21"/>
      <c r="C425" s="21"/>
      <c r="D425" s="14"/>
      <c r="E425" s="32"/>
      <c r="F425" s="32"/>
      <c r="G425" s="2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7"/>
      <c r="S425" s="7"/>
      <c r="T425" s="4"/>
      <c r="U425" s="4"/>
      <c r="V425" s="4"/>
      <c r="W425" s="4"/>
      <c r="X425" s="4"/>
      <c r="Y425" s="4"/>
      <c r="Z425" s="4"/>
    </row>
    <row r="426" ht="12.75" customHeight="1">
      <c r="A426" s="14"/>
      <c r="B426" s="21"/>
      <c r="C426" s="21"/>
      <c r="D426" s="14"/>
      <c r="E426" s="32"/>
      <c r="F426" s="32"/>
      <c r="G426" s="2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7"/>
      <c r="S426" s="7"/>
      <c r="T426" s="4"/>
      <c r="U426" s="4"/>
      <c r="V426" s="4"/>
      <c r="W426" s="4"/>
      <c r="X426" s="4"/>
      <c r="Y426" s="4"/>
      <c r="Z426" s="4"/>
    </row>
    <row r="427" ht="12.75" customHeight="1">
      <c r="A427" s="14"/>
      <c r="B427" s="21"/>
      <c r="C427" s="21"/>
      <c r="D427" s="14"/>
      <c r="E427" s="32"/>
      <c r="F427" s="32"/>
      <c r="G427" s="2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7"/>
      <c r="S427" s="7"/>
      <c r="T427" s="4"/>
      <c r="U427" s="4"/>
      <c r="V427" s="4"/>
      <c r="W427" s="4"/>
      <c r="X427" s="4"/>
      <c r="Y427" s="4"/>
      <c r="Z427" s="4"/>
    </row>
    <row r="428" ht="12.75" customHeight="1">
      <c r="A428" s="14"/>
      <c r="B428" s="21"/>
      <c r="C428" s="21"/>
      <c r="D428" s="14"/>
      <c r="E428" s="32"/>
      <c r="F428" s="32"/>
      <c r="G428" s="2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7"/>
      <c r="S428" s="7"/>
      <c r="T428" s="4"/>
      <c r="U428" s="4"/>
      <c r="V428" s="4"/>
      <c r="W428" s="4"/>
      <c r="X428" s="4"/>
      <c r="Y428" s="4"/>
      <c r="Z428" s="4"/>
    </row>
    <row r="429" ht="12.75" customHeight="1">
      <c r="A429" s="14"/>
      <c r="B429" s="21"/>
      <c r="C429" s="21"/>
      <c r="D429" s="14"/>
      <c r="E429" s="32"/>
      <c r="F429" s="32"/>
      <c r="G429" s="2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7"/>
      <c r="S429" s="7"/>
      <c r="T429" s="4"/>
      <c r="U429" s="4"/>
      <c r="V429" s="4"/>
      <c r="W429" s="4"/>
      <c r="X429" s="4"/>
      <c r="Y429" s="4"/>
      <c r="Z429" s="4"/>
    </row>
    <row r="430" ht="12.75" customHeight="1">
      <c r="A430" s="14"/>
      <c r="B430" s="21"/>
      <c r="C430" s="21"/>
      <c r="D430" s="14"/>
      <c r="E430" s="32"/>
      <c r="F430" s="32"/>
      <c r="G430" s="2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7"/>
      <c r="S430" s="7"/>
      <c r="T430" s="4"/>
      <c r="U430" s="4"/>
      <c r="V430" s="4"/>
      <c r="W430" s="4"/>
      <c r="X430" s="4"/>
      <c r="Y430" s="4"/>
      <c r="Z430" s="4"/>
    </row>
    <row r="431" ht="12.75" customHeight="1">
      <c r="A431" s="14"/>
      <c r="B431" s="21"/>
      <c r="C431" s="21"/>
      <c r="D431" s="14"/>
      <c r="E431" s="32"/>
      <c r="F431" s="32"/>
      <c r="G431" s="2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7"/>
      <c r="S431" s="7"/>
      <c r="T431" s="4"/>
      <c r="U431" s="4"/>
      <c r="V431" s="4"/>
      <c r="W431" s="4"/>
      <c r="X431" s="4"/>
      <c r="Y431" s="4"/>
      <c r="Z431" s="4"/>
    </row>
    <row r="432" ht="12.75" customHeight="1">
      <c r="A432" s="14"/>
      <c r="B432" s="21"/>
      <c r="C432" s="21"/>
      <c r="D432" s="14"/>
      <c r="E432" s="32"/>
      <c r="F432" s="32"/>
      <c r="G432" s="2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7"/>
      <c r="S432" s="7"/>
      <c r="T432" s="4"/>
      <c r="U432" s="4"/>
      <c r="V432" s="4"/>
      <c r="W432" s="4"/>
      <c r="X432" s="4"/>
      <c r="Y432" s="4"/>
      <c r="Z432" s="4"/>
    </row>
    <row r="433" ht="12.75" customHeight="1">
      <c r="A433" s="14"/>
      <c r="B433" s="21"/>
      <c r="C433" s="21"/>
      <c r="D433" s="14"/>
      <c r="E433" s="32"/>
      <c r="F433" s="32"/>
      <c r="G433" s="2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7"/>
      <c r="S433" s="7"/>
      <c r="T433" s="4"/>
      <c r="U433" s="4"/>
      <c r="V433" s="4"/>
      <c r="W433" s="4"/>
      <c r="X433" s="4"/>
      <c r="Y433" s="4"/>
      <c r="Z433" s="4"/>
    </row>
    <row r="434" ht="12.75" customHeight="1">
      <c r="A434" s="14"/>
      <c r="B434" s="21"/>
      <c r="C434" s="21"/>
      <c r="D434" s="14"/>
      <c r="E434" s="32"/>
      <c r="F434" s="32"/>
      <c r="G434" s="2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7"/>
      <c r="S434" s="7"/>
      <c r="T434" s="4"/>
      <c r="U434" s="4"/>
      <c r="V434" s="4"/>
      <c r="W434" s="4"/>
      <c r="X434" s="4"/>
      <c r="Y434" s="4"/>
      <c r="Z434" s="4"/>
    </row>
    <row r="435" ht="12.75" customHeight="1">
      <c r="A435" s="14"/>
      <c r="B435" s="21"/>
      <c r="C435" s="21"/>
      <c r="D435" s="14"/>
      <c r="E435" s="32"/>
      <c r="F435" s="32"/>
      <c r="G435" s="2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7"/>
      <c r="S435" s="7"/>
      <c r="T435" s="4"/>
      <c r="U435" s="4"/>
      <c r="V435" s="4"/>
      <c r="W435" s="4"/>
      <c r="X435" s="4"/>
      <c r="Y435" s="4"/>
      <c r="Z435" s="4"/>
    </row>
    <row r="436" ht="12.75" customHeight="1">
      <c r="A436" s="14"/>
      <c r="B436" s="21"/>
      <c r="C436" s="21"/>
      <c r="D436" s="14"/>
      <c r="E436" s="32"/>
      <c r="F436" s="32"/>
      <c r="G436" s="2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7"/>
      <c r="S436" s="7"/>
      <c r="T436" s="4"/>
      <c r="U436" s="4"/>
      <c r="V436" s="4"/>
      <c r="W436" s="4"/>
      <c r="X436" s="4"/>
      <c r="Y436" s="4"/>
      <c r="Z436" s="4"/>
    </row>
    <row r="437" ht="12.75" customHeight="1">
      <c r="A437" s="14"/>
      <c r="B437" s="21"/>
      <c r="C437" s="21"/>
      <c r="D437" s="14"/>
      <c r="E437" s="32"/>
      <c r="F437" s="32"/>
      <c r="G437" s="2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7"/>
      <c r="S437" s="7"/>
      <c r="T437" s="4"/>
      <c r="U437" s="4"/>
      <c r="V437" s="4"/>
      <c r="W437" s="4"/>
      <c r="X437" s="4"/>
      <c r="Y437" s="4"/>
      <c r="Z437" s="4"/>
    </row>
    <row r="438" ht="12.75" customHeight="1">
      <c r="A438" s="14"/>
      <c r="B438" s="21"/>
      <c r="C438" s="21"/>
      <c r="D438" s="14"/>
      <c r="E438" s="32"/>
      <c r="F438" s="32"/>
      <c r="G438" s="2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7"/>
      <c r="S438" s="7"/>
      <c r="T438" s="4"/>
      <c r="U438" s="4"/>
      <c r="V438" s="4"/>
      <c r="W438" s="4"/>
      <c r="X438" s="4"/>
      <c r="Y438" s="4"/>
      <c r="Z438" s="4"/>
    </row>
    <row r="439" ht="12.75" customHeight="1">
      <c r="A439" s="14"/>
      <c r="B439" s="21"/>
      <c r="C439" s="21"/>
      <c r="D439" s="14"/>
      <c r="E439" s="32"/>
      <c r="F439" s="32"/>
      <c r="G439" s="2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7"/>
      <c r="S439" s="7"/>
      <c r="T439" s="4"/>
      <c r="U439" s="4"/>
      <c r="V439" s="4"/>
      <c r="W439" s="4"/>
      <c r="X439" s="4"/>
      <c r="Y439" s="4"/>
      <c r="Z439" s="4"/>
    </row>
    <row r="440" ht="12.75" customHeight="1">
      <c r="A440" s="14"/>
      <c r="B440" s="21"/>
      <c r="C440" s="21"/>
      <c r="D440" s="14"/>
      <c r="E440" s="32"/>
      <c r="F440" s="32"/>
      <c r="G440" s="2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7"/>
      <c r="S440" s="7"/>
      <c r="T440" s="4"/>
      <c r="U440" s="4"/>
      <c r="V440" s="4"/>
      <c r="W440" s="4"/>
      <c r="X440" s="4"/>
      <c r="Y440" s="4"/>
      <c r="Z440" s="4"/>
    </row>
    <row r="441" ht="12.75" customHeight="1">
      <c r="A441" s="14"/>
      <c r="B441" s="21"/>
      <c r="C441" s="21"/>
      <c r="D441" s="14"/>
      <c r="E441" s="32"/>
      <c r="F441" s="32"/>
      <c r="G441" s="2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7"/>
      <c r="S441" s="7"/>
      <c r="T441" s="4"/>
      <c r="U441" s="4"/>
      <c r="V441" s="4"/>
      <c r="W441" s="4"/>
      <c r="X441" s="4"/>
      <c r="Y441" s="4"/>
      <c r="Z441" s="4"/>
    </row>
    <row r="442" ht="12.75" customHeight="1">
      <c r="A442" s="14"/>
      <c r="B442" s="21"/>
      <c r="C442" s="21"/>
      <c r="D442" s="14"/>
      <c r="E442" s="32"/>
      <c r="F442" s="32"/>
      <c r="G442" s="2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7"/>
      <c r="S442" s="7"/>
      <c r="T442" s="4"/>
      <c r="U442" s="4"/>
      <c r="V442" s="4"/>
      <c r="W442" s="4"/>
      <c r="X442" s="4"/>
      <c r="Y442" s="4"/>
      <c r="Z442" s="4"/>
    </row>
    <row r="443" ht="12.75" customHeight="1">
      <c r="A443" s="14"/>
      <c r="B443" s="21"/>
      <c r="C443" s="21"/>
      <c r="D443" s="14"/>
      <c r="E443" s="32"/>
      <c r="F443" s="32"/>
      <c r="G443" s="2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7"/>
      <c r="S443" s="7"/>
      <c r="T443" s="4"/>
      <c r="U443" s="4"/>
      <c r="V443" s="4"/>
      <c r="W443" s="4"/>
      <c r="X443" s="4"/>
      <c r="Y443" s="4"/>
      <c r="Z443" s="4"/>
    </row>
    <row r="444" ht="12.75" customHeight="1">
      <c r="A444" s="14"/>
      <c r="B444" s="21"/>
      <c r="C444" s="21"/>
      <c r="D444" s="14"/>
      <c r="E444" s="32"/>
      <c r="F444" s="32"/>
      <c r="G444" s="2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7"/>
      <c r="S444" s="7"/>
      <c r="T444" s="4"/>
      <c r="U444" s="4"/>
      <c r="V444" s="4"/>
      <c r="W444" s="4"/>
      <c r="X444" s="4"/>
      <c r="Y444" s="4"/>
      <c r="Z444" s="4"/>
    </row>
    <row r="445" ht="12.75" customHeight="1">
      <c r="A445" s="14"/>
      <c r="B445" s="21"/>
      <c r="C445" s="21"/>
      <c r="D445" s="14"/>
      <c r="E445" s="32"/>
      <c r="F445" s="32"/>
      <c r="G445" s="2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7"/>
      <c r="S445" s="7"/>
      <c r="T445" s="4"/>
      <c r="U445" s="4"/>
      <c r="V445" s="4"/>
      <c r="W445" s="4"/>
      <c r="X445" s="4"/>
      <c r="Y445" s="4"/>
      <c r="Z445" s="4"/>
    </row>
    <row r="446" ht="12.75" customHeight="1">
      <c r="A446" s="14"/>
      <c r="B446" s="21"/>
      <c r="C446" s="21"/>
      <c r="D446" s="14"/>
      <c r="E446" s="32"/>
      <c r="F446" s="32"/>
      <c r="G446" s="2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7"/>
      <c r="S446" s="7"/>
      <c r="T446" s="4"/>
      <c r="U446" s="4"/>
      <c r="V446" s="4"/>
      <c r="W446" s="4"/>
      <c r="X446" s="4"/>
      <c r="Y446" s="4"/>
      <c r="Z446" s="4"/>
    </row>
    <row r="447" ht="12.75" customHeight="1">
      <c r="A447" s="14"/>
      <c r="B447" s="21"/>
      <c r="C447" s="21"/>
      <c r="D447" s="14"/>
      <c r="E447" s="32"/>
      <c r="F447" s="32"/>
      <c r="G447" s="2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7"/>
      <c r="S447" s="7"/>
      <c r="T447" s="4"/>
      <c r="U447" s="4"/>
      <c r="V447" s="4"/>
      <c r="W447" s="4"/>
      <c r="X447" s="4"/>
      <c r="Y447" s="4"/>
      <c r="Z447" s="4"/>
    </row>
    <row r="448" ht="12.75" customHeight="1">
      <c r="A448" s="14"/>
      <c r="B448" s="21"/>
      <c r="C448" s="21"/>
      <c r="D448" s="14"/>
      <c r="E448" s="32"/>
      <c r="F448" s="32"/>
      <c r="G448" s="2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7"/>
      <c r="S448" s="7"/>
      <c r="T448" s="4"/>
      <c r="U448" s="4"/>
      <c r="V448" s="4"/>
      <c r="W448" s="4"/>
      <c r="X448" s="4"/>
      <c r="Y448" s="4"/>
      <c r="Z448" s="4"/>
    </row>
    <row r="449" ht="12.75" customHeight="1">
      <c r="A449" s="14"/>
      <c r="B449" s="21"/>
      <c r="C449" s="21"/>
      <c r="D449" s="14"/>
      <c r="E449" s="32"/>
      <c r="F449" s="32"/>
      <c r="G449" s="2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7"/>
      <c r="S449" s="7"/>
      <c r="T449" s="4"/>
      <c r="U449" s="4"/>
      <c r="V449" s="4"/>
      <c r="W449" s="4"/>
      <c r="X449" s="4"/>
      <c r="Y449" s="4"/>
      <c r="Z449" s="4"/>
    </row>
    <row r="450" ht="12.75" customHeight="1">
      <c r="A450" s="14"/>
      <c r="B450" s="21"/>
      <c r="C450" s="21"/>
      <c r="D450" s="14"/>
      <c r="E450" s="32"/>
      <c r="F450" s="32"/>
      <c r="G450" s="2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7"/>
      <c r="S450" s="7"/>
      <c r="T450" s="4"/>
      <c r="U450" s="4"/>
      <c r="V450" s="4"/>
      <c r="W450" s="4"/>
      <c r="X450" s="4"/>
      <c r="Y450" s="4"/>
      <c r="Z450" s="4"/>
    </row>
    <row r="451" ht="12.75" customHeight="1">
      <c r="A451" s="14"/>
      <c r="B451" s="21"/>
      <c r="C451" s="21"/>
      <c r="D451" s="14"/>
      <c r="E451" s="32"/>
      <c r="F451" s="32"/>
      <c r="G451" s="2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7"/>
      <c r="S451" s="7"/>
      <c r="T451" s="4"/>
      <c r="U451" s="4"/>
      <c r="V451" s="4"/>
      <c r="W451" s="4"/>
      <c r="X451" s="4"/>
      <c r="Y451" s="4"/>
      <c r="Z451" s="4"/>
    </row>
    <row r="452" ht="12.75" customHeight="1">
      <c r="A452" s="14"/>
      <c r="B452" s="21"/>
      <c r="C452" s="21"/>
      <c r="D452" s="14"/>
      <c r="E452" s="32"/>
      <c r="F452" s="32"/>
      <c r="G452" s="2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7"/>
      <c r="S452" s="7"/>
      <c r="T452" s="4"/>
      <c r="U452" s="4"/>
      <c r="V452" s="4"/>
      <c r="W452" s="4"/>
      <c r="X452" s="4"/>
      <c r="Y452" s="4"/>
      <c r="Z452" s="4"/>
    </row>
    <row r="453" ht="12.75" customHeight="1">
      <c r="A453" s="14"/>
      <c r="B453" s="21"/>
      <c r="C453" s="21"/>
      <c r="D453" s="14"/>
      <c r="E453" s="32"/>
      <c r="F453" s="32"/>
      <c r="G453" s="2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7"/>
      <c r="S453" s="7"/>
      <c r="T453" s="4"/>
      <c r="U453" s="4"/>
      <c r="V453" s="4"/>
      <c r="W453" s="4"/>
      <c r="X453" s="4"/>
      <c r="Y453" s="4"/>
      <c r="Z453" s="4"/>
    </row>
    <row r="454" ht="12.75" customHeight="1">
      <c r="A454" s="14"/>
      <c r="B454" s="21"/>
      <c r="C454" s="21"/>
      <c r="D454" s="14"/>
      <c r="E454" s="32"/>
      <c r="F454" s="32"/>
      <c r="G454" s="2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7"/>
      <c r="S454" s="7"/>
      <c r="T454" s="4"/>
      <c r="U454" s="4"/>
      <c r="V454" s="4"/>
      <c r="W454" s="4"/>
      <c r="X454" s="4"/>
      <c r="Y454" s="4"/>
      <c r="Z454" s="4"/>
    </row>
    <row r="455" ht="12.75" customHeight="1">
      <c r="A455" s="14"/>
      <c r="B455" s="21"/>
      <c r="C455" s="21"/>
      <c r="D455" s="14"/>
      <c r="E455" s="32"/>
      <c r="F455" s="32"/>
      <c r="G455" s="2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7"/>
      <c r="S455" s="7"/>
      <c r="T455" s="4"/>
      <c r="U455" s="4"/>
      <c r="V455" s="4"/>
      <c r="W455" s="4"/>
      <c r="X455" s="4"/>
      <c r="Y455" s="4"/>
      <c r="Z455" s="4"/>
    </row>
    <row r="456" ht="12.75" customHeight="1">
      <c r="A456" s="14"/>
      <c r="B456" s="21"/>
      <c r="C456" s="21"/>
      <c r="D456" s="14"/>
      <c r="E456" s="32"/>
      <c r="F456" s="32"/>
      <c r="G456" s="2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7"/>
      <c r="S456" s="7"/>
      <c r="T456" s="4"/>
      <c r="U456" s="4"/>
      <c r="V456" s="4"/>
      <c r="W456" s="4"/>
      <c r="X456" s="4"/>
      <c r="Y456" s="4"/>
      <c r="Z456" s="4"/>
    </row>
    <row r="457" ht="12.75" customHeight="1">
      <c r="A457" s="14"/>
      <c r="B457" s="21"/>
      <c r="C457" s="21"/>
      <c r="D457" s="14"/>
      <c r="E457" s="32"/>
      <c r="F457" s="32"/>
      <c r="G457" s="2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7"/>
      <c r="S457" s="7"/>
      <c r="T457" s="4"/>
      <c r="U457" s="4"/>
      <c r="V457" s="4"/>
      <c r="W457" s="4"/>
      <c r="X457" s="4"/>
      <c r="Y457" s="4"/>
      <c r="Z457" s="4"/>
    </row>
    <row r="458" ht="12.75" customHeight="1">
      <c r="A458" s="14"/>
      <c r="B458" s="21"/>
      <c r="C458" s="21"/>
      <c r="D458" s="14"/>
      <c r="E458" s="32"/>
      <c r="F458" s="32"/>
      <c r="G458" s="2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7"/>
      <c r="S458" s="7"/>
      <c r="T458" s="4"/>
      <c r="U458" s="4"/>
      <c r="V458" s="4"/>
      <c r="W458" s="4"/>
      <c r="X458" s="4"/>
      <c r="Y458" s="4"/>
      <c r="Z458" s="4"/>
    </row>
    <row r="459" ht="12.75" customHeight="1">
      <c r="A459" s="14"/>
      <c r="B459" s="21"/>
      <c r="C459" s="21"/>
      <c r="D459" s="14"/>
      <c r="E459" s="32"/>
      <c r="F459" s="32"/>
      <c r="G459" s="2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7"/>
      <c r="S459" s="7"/>
      <c r="T459" s="4"/>
      <c r="U459" s="4"/>
      <c r="V459" s="4"/>
      <c r="W459" s="4"/>
      <c r="X459" s="4"/>
      <c r="Y459" s="4"/>
      <c r="Z459" s="4"/>
    </row>
    <row r="460" ht="12.75" customHeight="1">
      <c r="A460" s="14"/>
      <c r="B460" s="21"/>
      <c r="C460" s="21"/>
      <c r="D460" s="14"/>
      <c r="E460" s="32"/>
      <c r="F460" s="32"/>
      <c r="G460" s="2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7"/>
      <c r="S460" s="7"/>
      <c r="T460" s="4"/>
      <c r="U460" s="4"/>
      <c r="V460" s="4"/>
      <c r="W460" s="4"/>
      <c r="X460" s="4"/>
      <c r="Y460" s="4"/>
      <c r="Z460" s="4"/>
    </row>
    <row r="461" ht="12.75" customHeight="1">
      <c r="A461" s="14"/>
      <c r="B461" s="21"/>
      <c r="C461" s="21"/>
      <c r="D461" s="14"/>
      <c r="E461" s="32"/>
      <c r="F461" s="32"/>
      <c r="G461" s="2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7"/>
      <c r="S461" s="7"/>
      <c r="T461" s="4"/>
      <c r="U461" s="4"/>
      <c r="V461" s="4"/>
      <c r="W461" s="4"/>
      <c r="X461" s="4"/>
      <c r="Y461" s="4"/>
      <c r="Z461" s="4"/>
    </row>
    <row r="462" ht="12.75" customHeight="1">
      <c r="A462" s="14"/>
      <c r="B462" s="21"/>
      <c r="C462" s="21"/>
      <c r="D462" s="14"/>
      <c r="E462" s="32"/>
      <c r="F462" s="32"/>
      <c r="G462" s="2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7"/>
      <c r="S462" s="7"/>
      <c r="T462" s="4"/>
      <c r="U462" s="4"/>
      <c r="V462" s="4"/>
      <c r="W462" s="4"/>
      <c r="X462" s="4"/>
      <c r="Y462" s="4"/>
      <c r="Z462" s="4"/>
    </row>
    <row r="463" ht="12.75" customHeight="1">
      <c r="A463" s="14"/>
      <c r="B463" s="21"/>
      <c r="C463" s="21"/>
      <c r="D463" s="14"/>
      <c r="E463" s="32"/>
      <c r="F463" s="32"/>
      <c r="G463" s="2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7"/>
      <c r="S463" s="7"/>
      <c r="T463" s="4"/>
      <c r="U463" s="4"/>
      <c r="V463" s="4"/>
      <c r="W463" s="4"/>
      <c r="X463" s="4"/>
      <c r="Y463" s="4"/>
      <c r="Z463" s="4"/>
    </row>
    <row r="464" ht="12.75" customHeight="1">
      <c r="A464" s="14"/>
      <c r="B464" s="21"/>
      <c r="C464" s="21"/>
      <c r="D464" s="14"/>
      <c r="E464" s="32"/>
      <c r="F464" s="32"/>
      <c r="G464" s="2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7"/>
      <c r="S464" s="7"/>
      <c r="T464" s="4"/>
      <c r="U464" s="4"/>
      <c r="V464" s="4"/>
      <c r="W464" s="4"/>
      <c r="X464" s="4"/>
      <c r="Y464" s="4"/>
      <c r="Z464" s="4"/>
    </row>
    <row r="465" ht="12.75" customHeight="1">
      <c r="A465" s="14"/>
      <c r="B465" s="21"/>
      <c r="C465" s="21"/>
      <c r="D465" s="14"/>
      <c r="E465" s="32"/>
      <c r="F465" s="32"/>
      <c r="G465" s="2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7"/>
      <c r="S465" s="7"/>
      <c r="T465" s="4"/>
      <c r="U465" s="4"/>
      <c r="V465" s="4"/>
      <c r="W465" s="4"/>
      <c r="X465" s="4"/>
      <c r="Y465" s="4"/>
      <c r="Z465" s="4"/>
    </row>
    <row r="466" ht="12.75" customHeight="1">
      <c r="A466" s="14"/>
      <c r="B466" s="21"/>
      <c r="C466" s="21"/>
      <c r="D466" s="14"/>
      <c r="E466" s="32"/>
      <c r="F466" s="32"/>
      <c r="G466" s="2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7"/>
      <c r="S466" s="7"/>
      <c r="T466" s="4"/>
      <c r="U466" s="4"/>
      <c r="V466" s="4"/>
      <c r="W466" s="4"/>
      <c r="X466" s="4"/>
      <c r="Y466" s="4"/>
      <c r="Z466" s="4"/>
    </row>
    <row r="467" ht="12.75" customHeight="1">
      <c r="A467" s="14"/>
      <c r="B467" s="21"/>
      <c r="C467" s="21"/>
      <c r="D467" s="14"/>
      <c r="E467" s="32"/>
      <c r="F467" s="32"/>
      <c r="G467" s="2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7"/>
      <c r="S467" s="7"/>
      <c r="T467" s="4"/>
      <c r="U467" s="4"/>
      <c r="V467" s="4"/>
      <c r="W467" s="4"/>
      <c r="X467" s="4"/>
      <c r="Y467" s="4"/>
      <c r="Z467" s="4"/>
    </row>
    <row r="468" ht="12.75" customHeight="1">
      <c r="A468" s="14"/>
      <c r="B468" s="21"/>
      <c r="C468" s="21"/>
      <c r="D468" s="14"/>
      <c r="E468" s="32"/>
      <c r="F468" s="32"/>
      <c r="G468" s="2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7"/>
      <c r="S468" s="7"/>
      <c r="T468" s="4"/>
      <c r="U468" s="4"/>
      <c r="V468" s="4"/>
      <c r="W468" s="4"/>
      <c r="X468" s="4"/>
      <c r="Y468" s="4"/>
      <c r="Z468" s="4"/>
    </row>
    <row r="469" ht="12.75" customHeight="1">
      <c r="A469" s="14"/>
      <c r="B469" s="21"/>
      <c r="C469" s="21"/>
      <c r="D469" s="14"/>
      <c r="E469" s="32"/>
      <c r="F469" s="32"/>
      <c r="G469" s="2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7"/>
      <c r="S469" s="7"/>
      <c r="T469" s="4"/>
      <c r="U469" s="4"/>
      <c r="V469" s="4"/>
      <c r="W469" s="4"/>
      <c r="X469" s="4"/>
      <c r="Y469" s="4"/>
      <c r="Z469" s="4"/>
    </row>
    <row r="470" ht="12.75" customHeight="1">
      <c r="A470" s="14"/>
      <c r="B470" s="21"/>
      <c r="C470" s="21"/>
      <c r="D470" s="14"/>
      <c r="E470" s="32"/>
      <c r="F470" s="32"/>
      <c r="G470" s="2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7"/>
      <c r="S470" s="7"/>
      <c r="T470" s="4"/>
      <c r="U470" s="4"/>
      <c r="V470" s="4"/>
      <c r="W470" s="4"/>
      <c r="X470" s="4"/>
      <c r="Y470" s="4"/>
      <c r="Z470" s="4"/>
    </row>
    <row r="471" ht="12.75" customHeight="1">
      <c r="A471" s="14"/>
      <c r="B471" s="21"/>
      <c r="C471" s="21"/>
      <c r="D471" s="14"/>
      <c r="E471" s="32"/>
      <c r="F471" s="32"/>
      <c r="G471" s="2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7"/>
      <c r="S471" s="7"/>
      <c r="T471" s="4"/>
      <c r="U471" s="4"/>
      <c r="V471" s="4"/>
      <c r="W471" s="4"/>
      <c r="X471" s="4"/>
      <c r="Y471" s="4"/>
      <c r="Z471" s="4"/>
    </row>
    <row r="472" ht="12.75" customHeight="1">
      <c r="A472" s="14"/>
      <c r="B472" s="21"/>
      <c r="C472" s="21"/>
      <c r="D472" s="14"/>
      <c r="E472" s="32"/>
      <c r="F472" s="32"/>
      <c r="G472" s="2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7"/>
      <c r="S472" s="7"/>
      <c r="T472" s="4"/>
      <c r="U472" s="4"/>
      <c r="V472" s="4"/>
      <c r="W472" s="4"/>
      <c r="X472" s="4"/>
      <c r="Y472" s="4"/>
      <c r="Z472" s="4"/>
    </row>
    <row r="473" ht="12.75" customHeight="1">
      <c r="A473" s="14"/>
      <c r="B473" s="21"/>
      <c r="C473" s="21"/>
      <c r="D473" s="14"/>
      <c r="E473" s="32"/>
      <c r="F473" s="32"/>
      <c r="G473" s="2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7"/>
      <c r="S473" s="7"/>
      <c r="T473" s="4"/>
      <c r="U473" s="4"/>
      <c r="V473" s="4"/>
      <c r="W473" s="4"/>
      <c r="X473" s="4"/>
      <c r="Y473" s="4"/>
      <c r="Z473" s="4"/>
    </row>
    <row r="474" ht="12.75" customHeight="1">
      <c r="A474" s="14"/>
      <c r="B474" s="21"/>
      <c r="C474" s="21"/>
      <c r="D474" s="14"/>
      <c r="E474" s="32"/>
      <c r="F474" s="32"/>
      <c r="G474" s="2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7"/>
      <c r="S474" s="7"/>
      <c r="T474" s="4"/>
      <c r="U474" s="4"/>
      <c r="V474" s="4"/>
      <c r="W474" s="4"/>
      <c r="X474" s="4"/>
      <c r="Y474" s="4"/>
      <c r="Z474" s="4"/>
    </row>
    <row r="475" ht="12.75" customHeight="1">
      <c r="A475" s="14"/>
      <c r="B475" s="21"/>
      <c r="C475" s="21"/>
      <c r="D475" s="14"/>
      <c r="E475" s="32"/>
      <c r="F475" s="32"/>
      <c r="G475" s="2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7"/>
      <c r="S475" s="7"/>
      <c r="T475" s="4"/>
      <c r="U475" s="4"/>
      <c r="V475" s="4"/>
      <c r="W475" s="4"/>
      <c r="X475" s="4"/>
      <c r="Y475" s="4"/>
      <c r="Z475" s="4"/>
    </row>
    <row r="476" ht="12.75" customHeight="1">
      <c r="A476" s="14"/>
      <c r="B476" s="21"/>
      <c r="C476" s="21"/>
      <c r="D476" s="14"/>
      <c r="E476" s="32"/>
      <c r="F476" s="32"/>
      <c r="G476" s="2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7"/>
      <c r="S476" s="7"/>
      <c r="T476" s="4"/>
      <c r="U476" s="4"/>
      <c r="V476" s="4"/>
      <c r="W476" s="4"/>
      <c r="X476" s="4"/>
      <c r="Y476" s="4"/>
      <c r="Z476" s="4"/>
    </row>
    <row r="477" ht="12.75" customHeight="1">
      <c r="A477" s="14"/>
      <c r="B477" s="21"/>
      <c r="C477" s="21"/>
      <c r="D477" s="14"/>
      <c r="E477" s="32"/>
      <c r="F477" s="32"/>
      <c r="G477" s="2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7"/>
      <c r="S477" s="7"/>
      <c r="T477" s="4"/>
      <c r="U477" s="4"/>
      <c r="V477" s="4"/>
      <c r="W477" s="4"/>
      <c r="X477" s="4"/>
      <c r="Y477" s="4"/>
      <c r="Z477" s="4"/>
    </row>
    <row r="478" ht="12.75" customHeight="1">
      <c r="A478" s="14"/>
      <c r="B478" s="21"/>
      <c r="C478" s="21"/>
      <c r="D478" s="14"/>
      <c r="E478" s="32"/>
      <c r="F478" s="32"/>
      <c r="G478" s="2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7"/>
      <c r="S478" s="7"/>
      <c r="T478" s="4"/>
      <c r="U478" s="4"/>
      <c r="V478" s="4"/>
      <c r="W478" s="4"/>
      <c r="X478" s="4"/>
      <c r="Y478" s="4"/>
      <c r="Z478" s="4"/>
    </row>
    <row r="479" ht="12.75" customHeight="1">
      <c r="A479" s="14"/>
      <c r="B479" s="21"/>
      <c r="C479" s="21"/>
      <c r="D479" s="14"/>
      <c r="E479" s="32"/>
      <c r="F479" s="32"/>
      <c r="G479" s="2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7"/>
      <c r="S479" s="7"/>
      <c r="T479" s="4"/>
      <c r="U479" s="4"/>
      <c r="V479" s="4"/>
      <c r="W479" s="4"/>
      <c r="X479" s="4"/>
      <c r="Y479" s="4"/>
      <c r="Z479" s="4"/>
    </row>
    <row r="480" ht="12.75" customHeight="1">
      <c r="A480" s="14"/>
      <c r="B480" s="21"/>
      <c r="C480" s="21"/>
      <c r="D480" s="14"/>
      <c r="E480" s="32"/>
      <c r="F480" s="32"/>
      <c r="G480" s="2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7"/>
      <c r="S480" s="7"/>
      <c r="T480" s="4"/>
      <c r="U480" s="4"/>
      <c r="V480" s="4"/>
      <c r="W480" s="4"/>
      <c r="X480" s="4"/>
      <c r="Y480" s="4"/>
      <c r="Z480" s="4"/>
    </row>
    <row r="481" ht="12.75" customHeight="1">
      <c r="A481" s="14"/>
      <c r="B481" s="21"/>
      <c r="C481" s="21"/>
      <c r="D481" s="14"/>
      <c r="E481" s="32"/>
      <c r="F481" s="32"/>
      <c r="G481" s="2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7"/>
      <c r="S481" s="7"/>
      <c r="T481" s="4"/>
      <c r="U481" s="4"/>
      <c r="V481" s="4"/>
      <c r="W481" s="4"/>
      <c r="X481" s="4"/>
      <c r="Y481" s="4"/>
      <c r="Z481" s="4"/>
    </row>
    <row r="482" ht="12.75" customHeight="1">
      <c r="A482" s="14"/>
      <c r="B482" s="21"/>
      <c r="C482" s="21"/>
      <c r="D482" s="14"/>
      <c r="E482" s="32"/>
      <c r="F482" s="32"/>
      <c r="G482" s="2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7"/>
      <c r="S482" s="7"/>
      <c r="T482" s="4"/>
      <c r="U482" s="4"/>
      <c r="V482" s="4"/>
      <c r="W482" s="4"/>
      <c r="X482" s="4"/>
      <c r="Y482" s="4"/>
      <c r="Z482" s="4"/>
    </row>
    <row r="483" ht="12.75" customHeight="1">
      <c r="A483" s="14"/>
      <c r="B483" s="21"/>
      <c r="C483" s="21"/>
      <c r="D483" s="14"/>
      <c r="E483" s="32"/>
      <c r="F483" s="32"/>
      <c r="G483" s="2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7"/>
      <c r="S483" s="7"/>
      <c r="T483" s="4"/>
      <c r="U483" s="4"/>
      <c r="V483" s="4"/>
      <c r="W483" s="4"/>
      <c r="X483" s="4"/>
      <c r="Y483" s="4"/>
      <c r="Z483" s="4"/>
    </row>
    <row r="484" ht="12.75" customHeight="1">
      <c r="A484" s="14"/>
      <c r="B484" s="21"/>
      <c r="C484" s="21"/>
      <c r="D484" s="14"/>
      <c r="E484" s="32"/>
      <c r="F484" s="32"/>
      <c r="G484" s="2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7"/>
      <c r="S484" s="7"/>
      <c r="T484" s="4"/>
      <c r="U484" s="4"/>
      <c r="V484" s="4"/>
      <c r="W484" s="4"/>
      <c r="X484" s="4"/>
      <c r="Y484" s="4"/>
      <c r="Z484" s="4"/>
    </row>
    <row r="485" ht="12.75" customHeight="1">
      <c r="A485" s="14"/>
      <c r="B485" s="21"/>
      <c r="C485" s="21"/>
      <c r="D485" s="14"/>
      <c r="E485" s="32"/>
      <c r="F485" s="32"/>
      <c r="G485" s="2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7"/>
      <c r="S485" s="7"/>
      <c r="T485" s="4"/>
      <c r="U485" s="4"/>
      <c r="V485" s="4"/>
      <c r="W485" s="4"/>
      <c r="X485" s="4"/>
      <c r="Y485" s="4"/>
      <c r="Z485" s="4"/>
    </row>
    <row r="486" ht="12.75" customHeight="1">
      <c r="A486" s="14"/>
      <c r="B486" s="21"/>
      <c r="C486" s="21"/>
      <c r="D486" s="14"/>
      <c r="E486" s="32"/>
      <c r="F486" s="32"/>
      <c r="G486" s="2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7"/>
      <c r="S486" s="7"/>
      <c r="T486" s="4"/>
      <c r="U486" s="4"/>
      <c r="V486" s="4"/>
      <c r="W486" s="4"/>
      <c r="X486" s="4"/>
      <c r="Y486" s="4"/>
      <c r="Z486" s="4"/>
    </row>
    <row r="487" ht="12.75" customHeight="1">
      <c r="A487" s="14"/>
      <c r="B487" s="21"/>
      <c r="C487" s="21"/>
      <c r="D487" s="14"/>
      <c r="E487" s="32"/>
      <c r="F487" s="32"/>
      <c r="G487" s="2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7"/>
      <c r="S487" s="7"/>
      <c r="T487" s="4"/>
      <c r="U487" s="4"/>
      <c r="V487" s="4"/>
      <c r="W487" s="4"/>
      <c r="X487" s="4"/>
      <c r="Y487" s="4"/>
      <c r="Z487" s="4"/>
    </row>
    <row r="488" ht="12.75" customHeight="1">
      <c r="A488" s="14"/>
      <c r="B488" s="21"/>
      <c r="C488" s="21"/>
      <c r="D488" s="14"/>
      <c r="E488" s="32"/>
      <c r="F488" s="32"/>
      <c r="G488" s="2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7"/>
      <c r="S488" s="7"/>
      <c r="T488" s="4"/>
      <c r="U488" s="4"/>
      <c r="V488" s="4"/>
      <c r="W488" s="4"/>
      <c r="X488" s="4"/>
      <c r="Y488" s="4"/>
      <c r="Z488" s="4"/>
    </row>
    <row r="489" ht="12.75" customHeight="1">
      <c r="A489" s="14"/>
      <c r="B489" s="21"/>
      <c r="C489" s="21"/>
      <c r="D489" s="14"/>
      <c r="E489" s="32"/>
      <c r="F489" s="32"/>
      <c r="G489" s="2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7"/>
      <c r="S489" s="7"/>
      <c r="T489" s="4"/>
      <c r="U489" s="4"/>
      <c r="V489" s="4"/>
      <c r="W489" s="4"/>
      <c r="X489" s="4"/>
      <c r="Y489" s="4"/>
      <c r="Z489" s="4"/>
    </row>
    <row r="490" ht="12.75" customHeight="1">
      <c r="A490" s="14"/>
      <c r="B490" s="21"/>
      <c r="C490" s="21"/>
      <c r="D490" s="14"/>
      <c r="E490" s="32"/>
      <c r="F490" s="32"/>
      <c r="G490" s="2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7"/>
      <c r="S490" s="7"/>
      <c r="T490" s="4"/>
      <c r="U490" s="4"/>
      <c r="V490" s="4"/>
      <c r="W490" s="4"/>
      <c r="X490" s="4"/>
      <c r="Y490" s="4"/>
      <c r="Z490" s="4"/>
    </row>
    <row r="491" ht="12.75" customHeight="1">
      <c r="A491" s="14"/>
      <c r="B491" s="21"/>
      <c r="C491" s="21"/>
      <c r="D491" s="14"/>
      <c r="E491" s="32"/>
      <c r="F491" s="32"/>
      <c r="G491" s="2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7"/>
      <c r="S491" s="7"/>
      <c r="T491" s="4"/>
      <c r="U491" s="4"/>
      <c r="V491" s="4"/>
      <c r="W491" s="4"/>
      <c r="X491" s="4"/>
      <c r="Y491" s="4"/>
      <c r="Z491" s="4"/>
    </row>
    <row r="492" ht="12.75" customHeight="1">
      <c r="A492" s="14"/>
      <c r="B492" s="21"/>
      <c r="C492" s="21"/>
      <c r="D492" s="14"/>
      <c r="E492" s="32"/>
      <c r="F492" s="32"/>
      <c r="G492" s="2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7"/>
      <c r="S492" s="7"/>
      <c r="T492" s="4"/>
      <c r="U492" s="4"/>
      <c r="V492" s="4"/>
      <c r="W492" s="4"/>
      <c r="X492" s="4"/>
      <c r="Y492" s="4"/>
      <c r="Z492" s="4"/>
    </row>
    <row r="493" ht="12.75" customHeight="1">
      <c r="A493" s="14"/>
      <c r="B493" s="21"/>
      <c r="C493" s="21"/>
      <c r="D493" s="14"/>
      <c r="E493" s="32"/>
      <c r="F493" s="32"/>
      <c r="G493" s="2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7"/>
      <c r="S493" s="7"/>
      <c r="T493" s="4"/>
      <c r="U493" s="4"/>
      <c r="V493" s="4"/>
      <c r="W493" s="4"/>
      <c r="X493" s="4"/>
      <c r="Y493" s="4"/>
      <c r="Z493" s="4"/>
    </row>
    <row r="494" ht="12.75" customHeight="1">
      <c r="A494" s="14"/>
      <c r="B494" s="21"/>
      <c r="C494" s="21"/>
      <c r="D494" s="14"/>
      <c r="E494" s="32"/>
      <c r="F494" s="32"/>
      <c r="G494" s="2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7"/>
      <c r="S494" s="7"/>
      <c r="T494" s="4"/>
      <c r="U494" s="4"/>
      <c r="V494" s="4"/>
      <c r="W494" s="4"/>
      <c r="X494" s="4"/>
      <c r="Y494" s="4"/>
      <c r="Z494" s="4"/>
    </row>
    <row r="495" ht="12.75" customHeight="1">
      <c r="A495" s="14"/>
      <c r="B495" s="21"/>
      <c r="C495" s="21"/>
      <c r="D495" s="14"/>
      <c r="E495" s="32"/>
      <c r="F495" s="32"/>
      <c r="G495" s="2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7"/>
      <c r="S495" s="7"/>
      <c r="T495" s="4"/>
      <c r="U495" s="4"/>
      <c r="V495" s="4"/>
      <c r="W495" s="4"/>
      <c r="X495" s="4"/>
      <c r="Y495" s="4"/>
      <c r="Z495" s="4"/>
    </row>
    <row r="496" ht="12.75" customHeight="1">
      <c r="A496" s="14"/>
      <c r="B496" s="21"/>
      <c r="C496" s="21"/>
      <c r="D496" s="14"/>
      <c r="E496" s="32"/>
      <c r="F496" s="32"/>
      <c r="G496" s="2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7"/>
      <c r="S496" s="7"/>
      <c r="T496" s="4"/>
      <c r="U496" s="4"/>
      <c r="V496" s="4"/>
      <c r="W496" s="4"/>
      <c r="X496" s="4"/>
      <c r="Y496" s="4"/>
      <c r="Z496" s="4"/>
    </row>
    <row r="497" ht="12.75" customHeight="1">
      <c r="A497" s="14"/>
      <c r="B497" s="21"/>
      <c r="C497" s="21"/>
      <c r="D497" s="14"/>
      <c r="E497" s="32"/>
      <c r="F497" s="32"/>
      <c r="G497" s="2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7"/>
      <c r="S497" s="7"/>
      <c r="T497" s="4"/>
      <c r="U497" s="4"/>
      <c r="V497" s="4"/>
      <c r="W497" s="4"/>
      <c r="X497" s="4"/>
      <c r="Y497" s="4"/>
      <c r="Z497" s="4"/>
    </row>
    <row r="498" ht="12.75" customHeight="1">
      <c r="A498" s="14"/>
      <c r="B498" s="21"/>
      <c r="C498" s="21"/>
      <c r="D498" s="14"/>
      <c r="E498" s="32"/>
      <c r="F498" s="32"/>
      <c r="G498" s="2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7"/>
      <c r="S498" s="7"/>
      <c r="T498" s="4"/>
      <c r="U498" s="4"/>
      <c r="V498" s="4"/>
      <c r="W498" s="4"/>
      <c r="X498" s="4"/>
      <c r="Y498" s="4"/>
      <c r="Z498" s="4"/>
    </row>
    <row r="499" ht="12.75" customHeight="1">
      <c r="A499" s="14"/>
      <c r="B499" s="21"/>
      <c r="C499" s="21"/>
      <c r="D499" s="14"/>
      <c r="E499" s="32"/>
      <c r="F499" s="32"/>
      <c r="G499" s="2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7"/>
      <c r="S499" s="7"/>
      <c r="T499" s="4"/>
      <c r="U499" s="4"/>
      <c r="V499" s="4"/>
      <c r="W499" s="4"/>
      <c r="X499" s="4"/>
      <c r="Y499" s="4"/>
      <c r="Z499" s="4"/>
    </row>
    <row r="500" ht="12.75" customHeight="1">
      <c r="A500" s="14"/>
      <c r="B500" s="21"/>
      <c r="C500" s="21"/>
      <c r="D500" s="14"/>
      <c r="E500" s="32"/>
      <c r="F500" s="32"/>
      <c r="G500" s="2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7"/>
      <c r="S500" s="7"/>
      <c r="T500" s="4"/>
      <c r="U500" s="4"/>
      <c r="V500" s="4"/>
      <c r="W500" s="4"/>
      <c r="X500" s="4"/>
      <c r="Y500" s="4"/>
      <c r="Z500" s="4"/>
    </row>
    <row r="501" ht="12.75" customHeight="1">
      <c r="A501" s="14"/>
      <c r="B501" s="21"/>
      <c r="C501" s="21"/>
      <c r="D501" s="14"/>
      <c r="E501" s="32"/>
      <c r="F501" s="32"/>
      <c r="G501" s="2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7"/>
      <c r="S501" s="7"/>
      <c r="T501" s="4"/>
      <c r="U501" s="4"/>
      <c r="V501" s="4"/>
      <c r="W501" s="4"/>
      <c r="X501" s="4"/>
      <c r="Y501" s="4"/>
      <c r="Z501" s="4"/>
    </row>
    <row r="502" ht="12.75" customHeight="1">
      <c r="A502" s="14"/>
      <c r="B502" s="21"/>
      <c r="C502" s="21"/>
      <c r="D502" s="14"/>
      <c r="E502" s="32"/>
      <c r="F502" s="32"/>
      <c r="G502" s="2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7"/>
      <c r="S502" s="7"/>
      <c r="T502" s="4"/>
      <c r="U502" s="4"/>
      <c r="V502" s="4"/>
      <c r="W502" s="4"/>
      <c r="X502" s="4"/>
      <c r="Y502" s="4"/>
      <c r="Z502" s="4"/>
    </row>
    <row r="503" ht="12.75" customHeight="1">
      <c r="A503" s="14"/>
      <c r="B503" s="21"/>
      <c r="C503" s="21"/>
      <c r="D503" s="14"/>
      <c r="E503" s="32"/>
      <c r="F503" s="32"/>
      <c r="G503" s="2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7"/>
      <c r="S503" s="7"/>
      <c r="T503" s="4"/>
      <c r="U503" s="4"/>
      <c r="V503" s="4"/>
      <c r="W503" s="4"/>
      <c r="X503" s="4"/>
      <c r="Y503" s="4"/>
      <c r="Z503" s="4"/>
    </row>
    <row r="504" ht="12.75" customHeight="1">
      <c r="A504" s="14"/>
      <c r="B504" s="21"/>
      <c r="C504" s="21"/>
      <c r="D504" s="14"/>
      <c r="E504" s="32"/>
      <c r="F504" s="32"/>
      <c r="G504" s="2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7"/>
      <c r="S504" s="7"/>
      <c r="T504" s="4"/>
      <c r="U504" s="4"/>
      <c r="V504" s="4"/>
      <c r="W504" s="4"/>
      <c r="X504" s="4"/>
      <c r="Y504" s="4"/>
      <c r="Z504" s="4"/>
    </row>
    <row r="505" ht="12.75" customHeight="1">
      <c r="A505" s="14"/>
      <c r="B505" s="21"/>
      <c r="C505" s="21"/>
      <c r="D505" s="14"/>
      <c r="E505" s="32"/>
      <c r="F505" s="32"/>
      <c r="G505" s="2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7"/>
      <c r="S505" s="7"/>
      <c r="T505" s="4"/>
      <c r="U505" s="4"/>
      <c r="V505" s="4"/>
      <c r="W505" s="4"/>
      <c r="X505" s="4"/>
      <c r="Y505" s="4"/>
      <c r="Z505" s="4"/>
    </row>
    <row r="506" ht="12.75" customHeight="1">
      <c r="A506" s="14"/>
      <c r="B506" s="21"/>
      <c r="C506" s="21"/>
      <c r="D506" s="14"/>
      <c r="E506" s="32"/>
      <c r="F506" s="32"/>
      <c r="G506" s="2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7"/>
      <c r="S506" s="7"/>
      <c r="T506" s="4"/>
      <c r="U506" s="4"/>
      <c r="V506" s="4"/>
      <c r="W506" s="4"/>
      <c r="X506" s="4"/>
      <c r="Y506" s="4"/>
      <c r="Z506" s="4"/>
    </row>
    <row r="507" ht="12.75" customHeight="1">
      <c r="A507" s="14"/>
      <c r="B507" s="21"/>
      <c r="C507" s="21"/>
      <c r="D507" s="14"/>
      <c r="E507" s="32"/>
      <c r="F507" s="32"/>
      <c r="G507" s="2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7"/>
      <c r="S507" s="7"/>
      <c r="T507" s="4"/>
      <c r="U507" s="4"/>
      <c r="V507" s="4"/>
      <c r="W507" s="4"/>
      <c r="X507" s="4"/>
      <c r="Y507" s="4"/>
      <c r="Z507" s="4"/>
    </row>
    <row r="508" ht="12.75" customHeight="1">
      <c r="A508" s="14"/>
      <c r="B508" s="21"/>
      <c r="C508" s="21"/>
      <c r="D508" s="14"/>
      <c r="E508" s="32"/>
      <c r="F508" s="32"/>
      <c r="G508" s="2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7"/>
      <c r="S508" s="7"/>
      <c r="T508" s="4"/>
      <c r="U508" s="4"/>
      <c r="V508" s="4"/>
      <c r="W508" s="4"/>
      <c r="X508" s="4"/>
      <c r="Y508" s="4"/>
      <c r="Z508" s="4"/>
    </row>
    <row r="509" ht="12.75" customHeight="1">
      <c r="A509" s="14"/>
      <c r="B509" s="21"/>
      <c r="C509" s="21"/>
      <c r="D509" s="14"/>
      <c r="E509" s="32"/>
      <c r="F509" s="32"/>
      <c r="G509" s="2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7"/>
      <c r="S509" s="7"/>
      <c r="T509" s="4"/>
      <c r="U509" s="4"/>
      <c r="V509" s="4"/>
      <c r="W509" s="4"/>
      <c r="X509" s="4"/>
      <c r="Y509" s="4"/>
      <c r="Z509" s="4"/>
    </row>
    <row r="510" ht="12.75" customHeight="1">
      <c r="A510" s="14"/>
      <c r="B510" s="21"/>
      <c r="C510" s="21"/>
      <c r="D510" s="14"/>
      <c r="E510" s="32"/>
      <c r="F510" s="32"/>
      <c r="G510" s="2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7"/>
      <c r="S510" s="7"/>
      <c r="T510" s="4"/>
      <c r="U510" s="4"/>
      <c r="V510" s="4"/>
      <c r="W510" s="4"/>
      <c r="X510" s="4"/>
      <c r="Y510" s="4"/>
      <c r="Z510" s="4"/>
    </row>
    <row r="511" ht="12.75" customHeight="1">
      <c r="A511" s="14"/>
      <c r="B511" s="21"/>
      <c r="C511" s="21"/>
      <c r="D511" s="14"/>
      <c r="E511" s="32"/>
      <c r="F511" s="32"/>
      <c r="G511" s="2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7"/>
      <c r="S511" s="7"/>
      <c r="T511" s="4"/>
      <c r="U511" s="4"/>
      <c r="V511" s="4"/>
      <c r="W511" s="4"/>
      <c r="X511" s="4"/>
      <c r="Y511" s="4"/>
      <c r="Z511" s="4"/>
    </row>
    <row r="512" ht="12.75" customHeight="1">
      <c r="A512" s="14"/>
      <c r="B512" s="21"/>
      <c r="C512" s="21"/>
      <c r="D512" s="14"/>
      <c r="E512" s="32"/>
      <c r="F512" s="32"/>
      <c r="G512" s="2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7"/>
      <c r="S512" s="7"/>
      <c r="T512" s="4"/>
      <c r="U512" s="4"/>
      <c r="V512" s="4"/>
      <c r="W512" s="4"/>
      <c r="X512" s="4"/>
      <c r="Y512" s="4"/>
      <c r="Z512" s="4"/>
    </row>
    <row r="513" ht="12.75" customHeight="1">
      <c r="A513" s="14"/>
      <c r="B513" s="21"/>
      <c r="C513" s="21"/>
      <c r="D513" s="14"/>
      <c r="E513" s="32"/>
      <c r="F513" s="32"/>
      <c r="G513" s="2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7"/>
      <c r="S513" s="7"/>
      <c r="T513" s="4"/>
      <c r="U513" s="4"/>
      <c r="V513" s="4"/>
      <c r="W513" s="4"/>
      <c r="X513" s="4"/>
      <c r="Y513" s="4"/>
      <c r="Z513" s="4"/>
    </row>
    <row r="514" ht="12.75" customHeight="1">
      <c r="A514" s="14"/>
      <c r="B514" s="21"/>
      <c r="C514" s="21"/>
      <c r="D514" s="14"/>
      <c r="E514" s="32"/>
      <c r="F514" s="32"/>
      <c r="G514" s="2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7"/>
      <c r="S514" s="7"/>
      <c r="T514" s="4"/>
      <c r="U514" s="4"/>
      <c r="V514" s="4"/>
      <c r="W514" s="4"/>
      <c r="X514" s="4"/>
      <c r="Y514" s="4"/>
      <c r="Z514" s="4"/>
    </row>
    <row r="515" ht="12.75" customHeight="1">
      <c r="A515" s="14"/>
      <c r="B515" s="21"/>
      <c r="C515" s="21"/>
      <c r="D515" s="14"/>
      <c r="E515" s="32"/>
      <c r="F515" s="32"/>
      <c r="G515" s="2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7"/>
      <c r="S515" s="7"/>
      <c r="T515" s="4"/>
      <c r="U515" s="4"/>
      <c r="V515" s="4"/>
      <c r="W515" s="4"/>
      <c r="X515" s="4"/>
      <c r="Y515" s="4"/>
      <c r="Z515" s="4"/>
    </row>
    <row r="516" ht="12.75" customHeight="1">
      <c r="A516" s="14"/>
      <c r="B516" s="21"/>
      <c r="C516" s="21"/>
      <c r="D516" s="14"/>
      <c r="E516" s="32"/>
      <c r="F516" s="32"/>
      <c r="G516" s="2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7"/>
      <c r="S516" s="7"/>
      <c r="T516" s="4"/>
      <c r="U516" s="4"/>
      <c r="V516" s="4"/>
      <c r="W516" s="4"/>
      <c r="X516" s="4"/>
      <c r="Y516" s="4"/>
      <c r="Z516" s="4"/>
    </row>
    <row r="517" ht="12.75" customHeight="1">
      <c r="A517" s="14"/>
      <c r="B517" s="21"/>
      <c r="C517" s="21"/>
      <c r="D517" s="14"/>
      <c r="E517" s="32"/>
      <c r="F517" s="32"/>
      <c r="G517" s="2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7"/>
      <c r="S517" s="7"/>
      <c r="T517" s="4"/>
      <c r="U517" s="4"/>
      <c r="V517" s="4"/>
      <c r="W517" s="4"/>
      <c r="X517" s="4"/>
      <c r="Y517" s="4"/>
      <c r="Z517" s="4"/>
    </row>
    <row r="518" ht="12.75" customHeight="1">
      <c r="A518" s="14"/>
      <c r="B518" s="21"/>
      <c r="C518" s="21"/>
      <c r="D518" s="14"/>
      <c r="E518" s="32"/>
      <c r="F518" s="32"/>
      <c r="G518" s="2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7"/>
      <c r="S518" s="7"/>
      <c r="T518" s="4"/>
      <c r="U518" s="4"/>
      <c r="V518" s="4"/>
      <c r="W518" s="4"/>
      <c r="X518" s="4"/>
      <c r="Y518" s="4"/>
      <c r="Z518" s="4"/>
    </row>
    <row r="519" ht="12.75" customHeight="1">
      <c r="A519" s="14"/>
      <c r="B519" s="21"/>
      <c r="C519" s="21"/>
      <c r="D519" s="14"/>
      <c r="E519" s="32"/>
      <c r="F519" s="32"/>
      <c r="G519" s="2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7"/>
      <c r="S519" s="7"/>
      <c r="T519" s="4"/>
      <c r="U519" s="4"/>
      <c r="V519" s="4"/>
      <c r="W519" s="4"/>
      <c r="X519" s="4"/>
      <c r="Y519" s="4"/>
      <c r="Z519" s="4"/>
    </row>
    <row r="520" ht="12.75" customHeight="1">
      <c r="A520" s="14"/>
      <c r="B520" s="21"/>
      <c r="C520" s="21"/>
      <c r="D520" s="14"/>
      <c r="E520" s="32"/>
      <c r="F520" s="32"/>
      <c r="G520" s="2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7"/>
      <c r="S520" s="7"/>
      <c r="T520" s="4"/>
      <c r="U520" s="4"/>
      <c r="V520" s="4"/>
      <c r="W520" s="4"/>
      <c r="X520" s="4"/>
      <c r="Y520" s="4"/>
      <c r="Z520" s="4"/>
    </row>
    <row r="521" ht="12.75" customHeight="1">
      <c r="A521" s="14"/>
      <c r="B521" s="21"/>
      <c r="C521" s="21"/>
      <c r="D521" s="14"/>
      <c r="E521" s="32"/>
      <c r="F521" s="32"/>
      <c r="G521" s="2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7"/>
      <c r="S521" s="7"/>
      <c r="T521" s="4"/>
      <c r="U521" s="4"/>
      <c r="V521" s="4"/>
      <c r="W521" s="4"/>
      <c r="X521" s="4"/>
      <c r="Y521" s="4"/>
      <c r="Z521" s="4"/>
    </row>
    <row r="522" ht="12.75" customHeight="1">
      <c r="A522" s="14"/>
      <c r="B522" s="21"/>
      <c r="C522" s="21"/>
      <c r="D522" s="14"/>
      <c r="E522" s="32"/>
      <c r="F522" s="32"/>
      <c r="G522" s="2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7"/>
      <c r="S522" s="7"/>
      <c r="T522" s="4"/>
      <c r="U522" s="4"/>
      <c r="V522" s="4"/>
      <c r="W522" s="4"/>
      <c r="X522" s="4"/>
      <c r="Y522" s="4"/>
      <c r="Z522" s="4"/>
    </row>
    <row r="523" ht="12.75" customHeight="1">
      <c r="A523" s="14"/>
      <c r="B523" s="21"/>
      <c r="C523" s="21"/>
      <c r="D523" s="14"/>
      <c r="E523" s="32"/>
      <c r="F523" s="32"/>
      <c r="G523" s="2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7"/>
      <c r="S523" s="7"/>
      <c r="T523" s="4"/>
      <c r="U523" s="4"/>
      <c r="V523" s="4"/>
      <c r="W523" s="4"/>
      <c r="X523" s="4"/>
      <c r="Y523" s="4"/>
      <c r="Z523" s="4"/>
    </row>
    <row r="524" ht="12.75" customHeight="1">
      <c r="A524" s="14"/>
      <c r="B524" s="21"/>
      <c r="C524" s="21"/>
      <c r="D524" s="14"/>
      <c r="E524" s="32"/>
      <c r="F524" s="32"/>
      <c r="G524" s="2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7"/>
      <c r="S524" s="7"/>
      <c r="T524" s="4"/>
      <c r="U524" s="4"/>
      <c r="V524" s="4"/>
      <c r="W524" s="4"/>
      <c r="X524" s="4"/>
      <c r="Y524" s="4"/>
      <c r="Z524" s="4"/>
    </row>
    <row r="525" ht="12.75" customHeight="1">
      <c r="A525" s="14"/>
      <c r="B525" s="21"/>
      <c r="C525" s="21"/>
      <c r="D525" s="14"/>
      <c r="E525" s="32"/>
      <c r="F525" s="32"/>
      <c r="G525" s="2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7"/>
      <c r="S525" s="7"/>
      <c r="T525" s="4"/>
      <c r="U525" s="4"/>
      <c r="V525" s="4"/>
      <c r="W525" s="4"/>
      <c r="X525" s="4"/>
      <c r="Y525" s="4"/>
      <c r="Z525" s="4"/>
    </row>
    <row r="526" ht="12.75" customHeight="1">
      <c r="A526" s="14"/>
      <c r="B526" s="21"/>
      <c r="C526" s="21"/>
      <c r="D526" s="14"/>
      <c r="E526" s="32"/>
      <c r="F526" s="32"/>
      <c r="G526" s="2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7"/>
      <c r="S526" s="7"/>
      <c r="T526" s="4"/>
      <c r="U526" s="4"/>
      <c r="V526" s="4"/>
      <c r="W526" s="4"/>
      <c r="X526" s="4"/>
      <c r="Y526" s="4"/>
      <c r="Z526" s="4"/>
    </row>
    <row r="527" ht="12.75" customHeight="1">
      <c r="A527" s="14"/>
      <c r="B527" s="21"/>
      <c r="C527" s="21"/>
      <c r="D527" s="14"/>
      <c r="E527" s="32"/>
      <c r="F527" s="32"/>
      <c r="G527" s="2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7"/>
      <c r="S527" s="7"/>
      <c r="T527" s="4"/>
      <c r="U527" s="4"/>
      <c r="V527" s="4"/>
      <c r="W527" s="4"/>
      <c r="X527" s="4"/>
      <c r="Y527" s="4"/>
      <c r="Z527" s="4"/>
    </row>
    <row r="528" ht="12.75" customHeight="1">
      <c r="A528" s="14"/>
      <c r="B528" s="21"/>
      <c r="C528" s="21"/>
      <c r="D528" s="14"/>
      <c r="E528" s="32"/>
      <c r="F528" s="32"/>
      <c r="G528" s="2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7"/>
      <c r="S528" s="7"/>
      <c r="T528" s="4"/>
      <c r="U528" s="4"/>
      <c r="V528" s="4"/>
      <c r="W528" s="4"/>
      <c r="X528" s="4"/>
      <c r="Y528" s="4"/>
      <c r="Z528" s="4"/>
    </row>
    <row r="529" ht="12.75" customHeight="1">
      <c r="A529" s="14"/>
      <c r="B529" s="21"/>
      <c r="C529" s="21"/>
      <c r="D529" s="14"/>
      <c r="E529" s="32"/>
      <c r="F529" s="32"/>
      <c r="G529" s="2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7"/>
      <c r="S529" s="7"/>
      <c r="T529" s="4"/>
      <c r="U529" s="4"/>
      <c r="V529" s="4"/>
      <c r="W529" s="4"/>
      <c r="X529" s="4"/>
      <c r="Y529" s="4"/>
      <c r="Z529" s="4"/>
    </row>
    <row r="530" ht="12.75" customHeight="1">
      <c r="A530" s="14"/>
      <c r="B530" s="21"/>
      <c r="C530" s="21"/>
      <c r="D530" s="14"/>
      <c r="E530" s="32"/>
      <c r="F530" s="32"/>
      <c r="G530" s="2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7"/>
      <c r="S530" s="7"/>
      <c r="T530" s="4"/>
      <c r="U530" s="4"/>
      <c r="V530" s="4"/>
      <c r="W530" s="4"/>
      <c r="X530" s="4"/>
      <c r="Y530" s="4"/>
      <c r="Z530" s="4"/>
    </row>
    <row r="531" ht="12.75" customHeight="1">
      <c r="A531" s="14"/>
      <c r="B531" s="21"/>
      <c r="C531" s="21"/>
      <c r="D531" s="14"/>
      <c r="E531" s="32"/>
      <c r="F531" s="32"/>
      <c r="G531" s="2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7"/>
      <c r="S531" s="7"/>
      <c r="T531" s="4"/>
      <c r="U531" s="4"/>
      <c r="V531" s="4"/>
      <c r="W531" s="4"/>
      <c r="X531" s="4"/>
      <c r="Y531" s="4"/>
      <c r="Z531" s="4"/>
    </row>
    <row r="532" ht="12.75" customHeight="1">
      <c r="A532" s="14"/>
      <c r="B532" s="21"/>
      <c r="C532" s="21"/>
      <c r="D532" s="14"/>
      <c r="E532" s="32"/>
      <c r="F532" s="32"/>
      <c r="G532" s="2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7"/>
      <c r="S532" s="7"/>
      <c r="T532" s="4"/>
      <c r="U532" s="4"/>
      <c r="V532" s="4"/>
      <c r="W532" s="4"/>
      <c r="X532" s="4"/>
      <c r="Y532" s="4"/>
      <c r="Z532" s="4"/>
    </row>
    <row r="533" ht="12.75" customHeight="1">
      <c r="A533" s="14"/>
      <c r="B533" s="21"/>
      <c r="C533" s="21"/>
      <c r="D533" s="14"/>
      <c r="E533" s="32"/>
      <c r="F533" s="32"/>
      <c r="G533" s="2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7"/>
      <c r="S533" s="7"/>
      <c r="T533" s="4"/>
      <c r="U533" s="4"/>
      <c r="V533" s="4"/>
      <c r="W533" s="4"/>
      <c r="X533" s="4"/>
      <c r="Y533" s="4"/>
      <c r="Z533" s="4"/>
    </row>
    <row r="534" ht="12.75" customHeight="1">
      <c r="A534" s="14"/>
      <c r="B534" s="21"/>
      <c r="C534" s="21"/>
      <c r="D534" s="14"/>
      <c r="E534" s="32"/>
      <c r="F534" s="32"/>
      <c r="G534" s="2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7"/>
      <c r="S534" s="7"/>
      <c r="T534" s="4"/>
      <c r="U534" s="4"/>
      <c r="V534" s="4"/>
      <c r="W534" s="4"/>
      <c r="X534" s="4"/>
      <c r="Y534" s="4"/>
      <c r="Z534" s="4"/>
    </row>
    <row r="535" ht="12.75" customHeight="1">
      <c r="A535" s="14"/>
      <c r="B535" s="21"/>
      <c r="C535" s="21"/>
      <c r="D535" s="14"/>
      <c r="E535" s="32"/>
      <c r="F535" s="32"/>
      <c r="G535" s="2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7"/>
      <c r="S535" s="7"/>
      <c r="T535" s="4"/>
      <c r="U535" s="4"/>
      <c r="V535" s="4"/>
      <c r="W535" s="4"/>
      <c r="X535" s="4"/>
      <c r="Y535" s="4"/>
      <c r="Z535" s="4"/>
    </row>
    <row r="536" ht="12.75" customHeight="1">
      <c r="A536" s="14"/>
      <c r="B536" s="21"/>
      <c r="C536" s="21"/>
      <c r="D536" s="14"/>
      <c r="E536" s="32"/>
      <c r="F536" s="32"/>
      <c r="G536" s="2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7"/>
      <c r="S536" s="7"/>
      <c r="T536" s="4"/>
      <c r="U536" s="4"/>
      <c r="V536" s="4"/>
      <c r="W536" s="4"/>
      <c r="X536" s="4"/>
      <c r="Y536" s="4"/>
      <c r="Z536" s="4"/>
    </row>
    <row r="537" ht="12.75" customHeight="1">
      <c r="A537" s="14"/>
      <c r="B537" s="21"/>
      <c r="C537" s="21"/>
      <c r="D537" s="14"/>
      <c r="E537" s="32"/>
      <c r="F537" s="32"/>
      <c r="G537" s="2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7"/>
      <c r="S537" s="7"/>
      <c r="T537" s="4"/>
      <c r="U537" s="4"/>
      <c r="V537" s="4"/>
      <c r="W537" s="4"/>
      <c r="X537" s="4"/>
      <c r="Y537" s="4"/>
      <c r="Z537" s="4"/>
    </row>
    <row r="538" ht="12.75" customHeight="1">
      <c r="A538" s="14"/>
      <c r="B538" s="21"/>
      <c r="C538" s="21"/>
      <c r="D538" s="14"/>
      <c r="E538" s="32"/>
      <c r="F538" s="32"/>
      <c r="G538" s="2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7"/>
      <c r="S538" s="7"/>
      <c r="T538" s="4"/>
      <c r="U538" s="4"/>
      <c r="V538" s="4"/>
      <c r="W538" s="4"/>
      <c r="X538" s="4"/>
      <c r="Y538" s="4"/>
      <c r="Z538" s="4"/>
    </row>
    <row r="539" ht="12.75" customHeight="1">
      <c r="A539" s="14"/>
      <c r="B539" s="21"/>
      <c r="C539" s="21"/>
      <c r="D539" s="14"/>
      <c r="E539" s="32"/>
      <c r="F539" s="32"/>
      <c r="G539" s="2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7"/>
      <c r="S539" s="7"/>
      <c r="T539" s="4"/>
      <c r="U539" s="4"/>
      <c r="V539" s="4"/>
      <c r="W539" s="4"/>
      <c r="X539" s="4"/>
      <c r="Y539" s="4"/>
      <c r="Z539" s="4"/>
    </row>
    <row r="540" ht="12.75" customHeight="1">
      <c r="A540" s="14"/>
      <c r="B540" s="21"/>
      <c r="C540" s="21"/>
      <c r="D540" s="14"/>
      <c r="E540" s="32"/>
      <c r="F540" s="32"/>
      <c r="G540" s="2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7"/>
      <c r="S540" s="7"/>
      <c r="T540" s="4"/>
      <c r="U540" s="4"/>
      <c r="V540" s="4"/>
      <c r="W540" s="4"/>
      <c r="X540" s="4"/>
      <c r="Y540" s="4"/>
      <c r="Z540" s="4"/>
    </row>
    <row r="541" ht="12.75" customHeight="1">
      <c r="A541" s="14"/>
      <c r="B541" s="21"/>
      <c r="C541" s="21"/>
      <c r="D541" s="14"/>
      <c r="E541" s="32"/>
      <c r="F541" s="32"/>
      <c r="G541" s="2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7"/>
      <c r="S541" s="7"/>
      <c r="T541" s="4"/>
      <c r="U541" s="4"/>
      <c r="V541" s="4"/>
      <c r="W541" s="4"/>
      <c r="X541" s="4"/>
      <c r="Y541" s="4"/>
      <c r="Z541" s="4"/>
    </row>
    <row r="542" ht="12.75" customHeight="1">
      <c r="A542" s="14"/>
      <c r="B542" s="21"/>
      <c r="C542" s="21"/>
      <c r="D542" s="14"/>
      <c r="E542" s="32"/>
      <c r="F542" s="32"/>
      <c r="G542" s="2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7"/>
      <c r="S542" s="7"/>
      <c r="T542" s="4"/>
      <c r="U542" s="4"/>
      <c r="V542" s="4"/>
      <c r="W542" s="4"/>
      <c r="X542" s="4"/>
      <c r="Y542" s="4"/>
      <c r="Z542" s="4"/>
    </row>
    <row r="543" ht="12.75" customHeight="1">
      <c r="A543" s="14"/>
      <c r="B543" s="21"/>
      <c r="C543" s="21"/>
      <c r="D543" s="14"/>
      <c r="E543" s="32"/>
      <c r="F543" s="32"/>
      <c r="G543" s="2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7"/>
      <c r="S543" s="7"/>
      <c r="T543" s="4"/>
      <c r="U543" s="4"/>
      <c r="V543" s="4"/>
      <c r="W543" s="4"/>
      <c r="X543" s="4"/>
      <c r="Y543" s="4"/>
      <c r="Z543" s="4"/>
    </row>
    <row r="544" ht="12.75" customHeight="1">
      <c r="A544" s="14"/>
      <c r="B544" s="21"/>
      <c r="C544" s="21"/>
      <c r="D544" s="14"/>
      <c r="E544" s="32"/>
      <c r="F544" s="32"/>
      <c r="G544" s="2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7"/>
      <c r="S544" s="7"/>
      <c r="T544" s="4"/>
      <c r="U544" s="4"/>
      <c r="V544" s="4"/>
      <c r="W544" s="4"/>
      <c r="X544" s="4"/>
      <c r="Y544" s="4"/>
      <c r="Z544" s="4"/>
    </row>
    <row r="545" ht="12.75" customHeight="1">
      <c r="A545" s="14"/>
      <c r="B545" s="21"/>
      <c r="C545" s="21"/>
      <c r="D545" s="14"/>
      <c r="E545" s="32"/>
      <c r="F545" s="32"/>
      <c r="G545" s="2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7"/>
      <c r="S545" s="7"/>
      <c r="T545" s="4"/>
      <c r="U545" s="4"/>
      <c r="V545" s="4"/>
      <c r="W545" s="4"/>
      <c r="X545" s="4"/>
      <c r="Y545" s="4"/>
      <c r="Z545" s="4"/>
    </row>
    <row r="546" ht="12.75" customHeight="1">
      <c r="A546" s="14"/>
      <c r="B546" s="21"/>
      <c r="C546" s="21"/>
      <c r="D546" s="14"/>
      <c r="E546" s="32"/>
      <c r="F546" s="32"/>
      <c r="G546" s="2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7"/>
      <c r="S546" s="7"/>
      <c r="T546" s="4"/>
      <c r="U546" s="4"/>
      <c r="V546" s="4"/>
      <c r="W546" s="4"/>
      <c r="X546" s="4"/>
      <c r="Y546" s="4"/>
      <c r="Z546" s="4"/>
    </row>
    <row r="547" ht="12.75" customHeight="1">
      <c r="A547" s="14"/>
      <c r="B547" s="21"/>
      <c r="C547" s="21"/>
      <c r="D547" s="14"/>
      <c r="E547" s="32"/>
      <c r="F547" s="32"/>
      <c r="G547" s="2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7"/>
      <c r="S547" s="7"/>
      <c r="T547" s="4"/>
      <c r="U547" s="4"/>
      <c r="V547" s="4"/>
      <c r="W547" s="4"/>
      <c r="X547" s="4"/>
      <c r="Y547" s="4"/>
      <c r="Z547" s="4"/>
    </row>
    <row r="548" ht="12.75" customHeight="1">
      <c r="A548" s="14"/>
      <c r="B548" s="21"/>
      <c r="C548" s="21"/>
      <c r="D548" s="14"/>
      <c r="E548" s="32"/>
      <c r="F548" s="32"/>
      <c r="G548" s="2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7"/>
      <c r="S548" s="7"/>
      <c r="T548" s="4"/>
      <c r="U548" s="4"/>
      <c r="V548" s="4"/>
      <c r="W548" s="4"/>
      <c r="X548" s="4"/>
      <c r="Y548" s="4"/>
      <c r="Z548" s="4"/>
    </row>
    <row r="549" ht="12.75" customHeight="1">
      <c r="A549" s="14"/>
      <c r="B549" s="21"/>
      <c r="C549" s="21"/>
      <c r="D549" s="14"/>
      <c r="E549" s="32"/>
      <c r="F549" s="32"/>
      <c r="G549" s="2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7"/>
      <c r="S549" s="7"/>
      <c r="T549" s="4"/>
      <c r="U549" s="4"/>
      <c r="V549" s="4"/>
      <c r="W549" s="4"/>
      <c r="X549" s="4"/>
      <c r="Y549" s="4"/>
      <c r="Z549" s="4"/>
    </row>
    <row r="550" ht="12.75" customHeight="1">
      <c r="A550" s="14"/>
      <c r="B550" s="21"/>
      <c r="C550" s="21"/>
      <c r="D550" s="14"/>
      <c r="E550" s="32"/>
      <c r="F550" s="32"/>
      <c r="G550" s="2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7"/>
      <c r="S550" s="7"/>
      <c r="T550" s="4"/>
      <c r="U550" s="4"/>
      <c r="V550" s="4"/>
      <c r="W550" s="4"/>
      <c r="X550" s="4"/>
      <c r="Y550" s="4"/>
      <c r="Z550" s="4"/>
    </row>
    <row r="551" ht="12.75" customHeight="1">
      <c r="A551" s="14"/>
      <c r="B551" s="21"/>
      <c r="C551" s="21"/>
      <c r="D551" s="14"/>
      <c r="E551" s="32"/>
      <c r="F551" s="32"/>
      <c r="G551" s="2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7"/>
      <c r="S551" s="7"/>
      <c r="T551" s="4"/>
      <c r="U551" s="4"/>
      <c r="V551" s="4"/>
      <c r="W551" s="4"/>
      <c r="X551" s="4"/>
      <c r="Y551" s="4"/>
      <c r="Z551" s="4"/>
    </row>
    <row r="552" ht="12.75" customHeight="1">
      <c r="A552" s="14"/>
      <c r="B552" s="21"/>
      <c r="C552" s="21"/>
      <c r="D552" s="14"/>
      <c r="E552" s="32"/>
      <c r="F552" s="32"/>
      <c r="G552" s="2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7"/>
      <c r="S552" s="7"/>
      <c r="T552" s="4"/>
      <c r="U552" s="4"/>
      <c r="V552" s="4"/>
      <c r="W552" s="4"/>
      <c r="X552" s="4"/>
      <c r="Y552" s="4"/>
      <c r="Z552" s="4"/>
    </row>
    <row r="553" ht="12.75" customHeight="1">
      <c r="A553" s="14"/>
      <c r="B553" s="21"/>
      <c r="C553" s="21"/>
      <c r="D553" s="14"/>
      <c r="E553" s="32"/>
      <c r="F553" s="32"/>
      <c r="G553" s="2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7"/>
      <c r="S553" s="7"/>
      <c r="T553" s="4"/>
      <c r="U553" s="4"/>
      <c r="V553" s="4"/>
      <c r="W553" s="4"/>
      <c r="X553" s="4"/>
      <c r="Y553" s="4"/>
      <c r="Z553" s="4"/>
    </row>
    <row r="554" ht="12.75" customHeight="1">
      <c r="A554" s="14"/>
      <c r="B554" s="21"/>
      <c r="C554" s="21"/>
      <c r="D554" s="14"/>
      <c r="E554" s="32"/>
      <c r="F554" s="32"/>
      <c r="G554" s="2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7"/>
      <c r="S554" s="7"/>
      <c r="T554" s="4"/>
      <c r="U554" s="4"/>
      <c r="V554" s="4"/>
      <c r="W554" s="4"/>
      <c r="X554" s="4"/>
      <c r="Y554" s="4"/>
      <c r="Z554" s="4"/>
    </row>
    <row r="555" ht="12.75" customHeight="1">
      <c r="A555" s="14"/>
      <c r="B555" s="21"/>
      <c r="C555" s="21"/>
      <c r="D555" s="14"/>
      <c r="E555" s="32"/>
      <c r="F555" s="32"/>
      <c r="G555" s="2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7"/>
      <c r="S555" s="7"/>
      <c r="T555" s="4"/>
      <c r="U555" s="4"/>
      <c r="V555" s="4"/>
      <c r="W555" s="4"/>
      <c r="X555" s="4"/>
      <c r="Y555" s="4"/>
      <c r="Z555" s="4"/>
    </row>
    <row r="556" ht="12.75" customHeight="1">
      <c r="A556" s="14"/>
      <c r="B556" s="21"/>
      <c r="C556" s="21"/>
      <c r="D556" s="14"/>
      <c r="E556" s="32"/>
      <c r="F556" s="32"/>
      <c r="G556" s="2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7"/>
      <c r="S556" s="7"/>
      <c r="T556" s="4"/>
      <c r="U556" s="4"/>
      <c r="V556" s="4"/>
      <c r="W556" s="4"/>
      <c r="X556" s="4"/>
      <c r="Y556" s="4"/>
      <c r="Z556" s="4"/>
    </row>
    <row r="557" ht="12.75" customHeight="1">
      <c r="A557" s="14"/>
      <c r="B557" s="21"/>
      <c r="C557" s="21"/>
      <c r="D557" s="14"/>
      <c r="E557" s="32"/>
      <c r="F557" s="32"/>
      <c r="G557" s="2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7"/>
      <c r="S557" s="7"/>
      <c r="T557" s="4"/>
      <c r="U557" s="4"/>
      <c r="V557" s="4"/>
      <c r="W557" s="4"/>
      <c r="X557" s="4"/>
      <c r="Y557" s="4"/>
      <c r="Z557" s="4"/>
    </row>
    <row r="558" ht="12.75" customHeight="1">
      <c r="A558" s="14"/>
      <c r="B558" s="21"/>
      <c r="C558" s="21"/>
      <c r="D558" s="14"/>
      <c r="E558" s="32"/>
      <c r="F558" s="32"/>
      <c r="G558" s="2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7"/>
      <c r="S558" s="7"/>
      <c r="T558" s="4"/>
      <c r="U558" s="4"/>
      <c r="V558" s="4"/>
      <c r="W558" s="4"/>
      <c r="X558" s="4"/>
      <c r="Y558" s="4"/>
      <c r="Z558" s="4"/>
    </row>
    <row r="559" ht="12.75" customHeight="1">
      <c r="A559" s="14"/>
      <c r="B559" s="21"/>
      <c r="C559" s="21"/>
      <c r="D559" s="14"/>
      <c r="E559" s="32"/>
      <c r="F559" s="32"/>
      <c r="G559" s="2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7"/>
      <c r="S559" s="7"/>
      <c r="T559" s="4"/>
      <c r="U559" s="4"/>
      <c r="V559" s="4"/>
      <c r="W559" s="4"/>
      <c r="X559" s="4"/>
      <c r="Y559" s="4"/>
      <c r="Z559" s="4"/>
    </row>
    <row r="560" ht="12.75" customHeight="1">
      <c r="A560" s="14"/>
      <c r="B560" s="21"/>
      <c r="C560" s="21"/>
      <c r="D560" s="14"/>
      <c r="E560" s="32"/>
      <c r="F560" s="32"/>
      <c r="G560" s="2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7"/>
      <c r="S560" s="7"/>
      <c r="T560" s="4"/>
      <c r="U560" s="4"/>
      <c r="V560" s="4"/>
      <c r="W560" s="4"/>
      <c r="X560" s="4"/>
      <c r="Y560" s="4"/>
      <c r="Z560" s="4"/>
    </row>
    <row r="561" ht="12.75" customHeight="1">
      <c r="A561" s="14"/>
      <c r="B561" s="21"/>
      <c r="C561" s="21"/>
      <c r="D561" s="14"/>
      <c r="E561" s="32"/>
      <c r="F561" s="32"/>
      <c r="G561" s="2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7"/>
      <c r="S561" s="7"/>
      <c r="T561" s="4"/>
      <c r="U561" s="4"/>
      <c r="V561" s="4"/>
      <c r="W561" s="4"/>
      <c r="X561" s="4"/>
      <c r="Y561" s="4"/>
      <c r="Z561" s="4"/>
    </row>
    <row r="562" ht="12.75" customHeight="1">
      <c r="A562" s="14"/>
      <c r="B562" s="21"/>
      <c r="C562" s="21"/>
      <c r="D562" s="14"/>
      <c r="E562" s="32"/>
      <c r="F562" s="32"/>
      <c r="G562" s="2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7"/>
      <c r="S562" s="7"/>
      <c r="T562" s="4"/>
      <c r="U562" s="4"/>
      <c r="V562" s="4"/>
      <c r="W562" s="4"/>
      <c r="X562" s="4"/>
      <c r="Y562" s="4"/>
      <c r="Z562" s="4"/>
    </row>
    <row r="563" ht="12.75" customHeight="1">
      <c r="A563" s="14"/>
      <c r="B563" s="21"/>
      <c r="C563" s="21"/>
      <c r="D563" s="14"/>
      <c r="E563" s="32"/>
      <c r="F563" s="32"/>
      <c r="G563" s="2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7"/>
      <c r="S563" s="7"/>
      <c r="T563" s="4"/>
      <c r="U563" s="4"/>
      <c r="V563" s="4"/>
      <c r="W563" s="4"/>
      <c r="X563" s="4"/>
      <c r="Y563" s="4"/>
      <c r="Z563" s="4"/>
    </row>
    <row r="564" ht="12.75" customHeight="1">
      <c r="A564" s="14"/>
      <c r="B564" s="21"/>
      <c r="C564" s="21"/>
      <c r="D564" s="14"/>
      <c r="E564" s="32"/>
      <c r="F564" s="32"/>
      <c r="G564" s="2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7"/>
      <c r="S564" s="7"/>
      <c r="T564" s="4"/>
      <c r="U564" s="4"/>
      <c r="V564" s="4"/>
      <c r="W564" s="4"/>
      <c r="X564" s="4"/>
      <c r="Y564" s="4"/>
      <c r="Z564" s="4"/>
    </row>
    <row r="565" ht="12.75" customHeight="1">
      <c r="A565" s="14"/>
      <c r="B565" s="21"/>
      <c r="C565" s="21"/>
      <c r="D565" s="14"/>
      <c r="E565" s="32"/>
      <c r="F565" s="32"/>
      <c r="G565" s="2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7"/>
      <c r="S565" s="7"/>
      <c r="T565" s="4"/>
      <c r="U565" s="4"/>
      <c r="V565" s="4"/>
      <c r="W565" s="4"/>
      <c r="X565" s="4"/>
      <c r="Y565" s="4"/>
      <c r="Z565" s="4"/>
    </row>
    <row r="566" ht="12.75" customHeight="1">
      <c r="A566" s="14"/>
      <c r="B566" s="21"/>
      <c r="C566" s="21"/>
      <c r="D566" s="14"/>
      <c r="E566" s="32"/>
      <c r="F566" s="32"/>
      <c r="G566" s="2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7"/>
      <c r="S566" s="7"/>
      <c r="T566" s="4"/>
      <c r="U566" s="4"/>
      <c r="V566" s="4"/>
      <c r="W566" s="4"/>
      <c r="X566" s="4"/>
      <c r="Y566" s="4"/>
      <c r="Z566" s="4"/>
    </row>
    <row r="567" ht="12.75" customHeight="1">
      <c r="A567" s="14"/>
      <c r="B567" s="21"/>
      <c r="C567" s="21"/>
      <c r="D567" s="14"/>
      <c r="E567" s="32"/>
      <c r="F567" s="32"/>
      <c r="G567" s="2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7"/>
      <c r="S567" s="7"/>
      <c r="T567" s="4"/>
      <c r="U567" s="4"/>
      <c r="V567" s="4"/>
      <c r="W567" s="4"/>
      <c r="X567" s="4"/>
      <c r="Y567" s="4"/>
      <c r="Z567" s="4"/>
    </row>
    <row r="568" ht="12.75" customHeight="1">
      <c r="A568" s="14"/>
      <c r="B568" s="21"/>
      <c r="C568" s="21"/>
      <c r="D568" s="14"/>
      <c r="E568" s="32"/>
      <c r="F568" s="32"/>
      <c r="G568" s="2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7"/>
      <c r="S568" s="7"/>
      <c r="T568" s="4"/>
      <c r="U568" s="4"/>
      <c r="V568" s="4"/>
      <c r="W568" s="4"/>
      <c r="X568" s="4"/>
      <c r="Y568" s="4"/>
      <c r="Z568" s="4"/>
    </row>
    <row r="569" ht="12.75" customHeight="1">
      <c r="A569" s="14"/>
      <c r="B569" s="21"/>
      <c r="C569" s="21"/>
      <c r="D569" s="14"/>
      <c r="E569" s="32"/>
      <c r="F569" s="32"/>
      <c r="G569" s="2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7"/>
      <c r="S569" s="7"/>
      <c r="T569" s="4"/>
      <c r="U569" s="4"/>
      <c r="V569" s="4"/>
      <c r="W569" s="4"/>
      <c r="X569" s="4"/>
      <c r="Y569" s="4"/>
      <c r="Z569" s="4"/>
    </row>
    <row r="570" ht="12.75" customHeight="1">
      <c r="A570" s="14"/>
      <c r="B570" s="21"/>
      <c r="C570" s="21"/>
      <c r="D570" s="14"/>
      <c r="E570" s="32"/>
      <c r="F570" s="32"/>
      <c r="G570" s="2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7"/>
      <c r="S570" s="7"/>
      <c r="T570" s="4"/>
      <c r="U570" s="4"/>
      <c r="V570" s="4"/>
      <c r="W570" s="4"/>
      <c r="X570" s="4"/>
      <c r="Y570" s="4"/>
      <c r="Z570" s="4"/>
    </row>
    <row r="571" ht="12.75" customHeight="1">
      <c r="A571" s="14"/>
      <c r="B571" s="21"/>
      <c r="C571" s="21"/>
      <c r="D571" s="14"/>
      <c r="E571" s="32"/>
      <c r="F571" s="32"/>
      <c r="G571" s="2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7"/>
      <c r="S571" s="7"/>
      <c r="T571" s="4"/>
      <c r="U571" s="4"/>
      <c r="V571" s="4"/>
      <c r="W571" s="4"/>
      <c r="X571" s="4"/>
      <c r="Y571" s="4"/>
      <c r="Z571" s="4"/>
    </row>
    <row r="572" ht="12.75" customHeight="1">
      <c r="A572" s="14"/>
      <c r="B572" s="21"/>
      <c r="C572" s="21"/>
      <c r="D572" s="14"/>
      <c r="E572" s="32"/>
      <c r="F572" s="32"/>
      <c r="G572" s="2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7"/>
      <c r="S572" s="7"/>
      <c r="T572" s="4"/>
      <c r="U572" s="4"/>
      <c r="V572" s="4"/>
      <c r="W572" s="4"/>
      <c r="X572" s="4"/>
      <c r="Y572" s="4"/>
      <c r="Z572" s="4"/>
    </row>
    <row r="573" ht="12.75" customHeight="1">
      <c r="A573" s="14"/>
      <c r="B573" s="21"/>
      <c r="C573" s="21"/>
      <c r="D573" s="14"/>
      <c r="E573" s="32"/>
      <c r="F573" s="32"/>
      <c r="G573" s="2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7"/>
      <c r="S573" s="7"/>
      <c r="T573" s="4"/>
      <c r="U573" s="4"/>
      <c r="V573" s="4"/>
      <c r="W573" s="4"/>
      <c r="X573" s="4"/>
      <c r="Y573" s="4"/>
      <c r="Z573" s="4"/>
    </row>
    <row r="574" ht="12.75" customHeight="1">
      <c r="A574" s="14"/>
      <c r="B574" s="21"/>
      <c r="C574" s="21"/>
      <c r="D574" s="14"/>
      <c r="E574" s="32"/>
      <c r="F574" s="32"/>
      <c r="G574" s="2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7"/>
      <c r="S574" s="7"/>
      <c r="T574" s="4"/>
      <c r="U574" s="4"/>
      <c r="V574" s="4"/>
      <c r="W574" s="4"/>
      <c r="X574" s="4"/>
      <c r="Y574" s="4"/>
      <c r="Z574" s="4"/>
    </row>
    <row r="575" ht="12.75" customHeight="1">
      <c r="A575" s="14"/>
      <c r="B575" s="21"/>
      <c r="C575" s="21"/>
      <c r="D575" s="14"/>
      <c r="E575" s="32"/>
      <c r="F575" s="32"/>
      <c r="G575" s="2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7"/>
      <c r="S575" s="7"/>
      <c r="T575" s="4"/>
      <c r="U575" s="4"/>
      <c r="V575" s="4"/>
      <c r="W575" s="4"/>
      <c r="X575" s="4"/>
      <c r="Y575" s="4"/>
      <c r="Z575" s="4"/>
    </row>
    <row r="576" ht="12.75" customHeight="1">
      <c r="A576" s="14"/>
      <c r="B576" s="21"/>
      <c r="C576" s="21"/>
      <c r="D576" s="14"/>
      <c r="E576" s="32"/>
      <c r="F576" s="32"/>
      <c r="G576" s="2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7"/>
      <c r="S576" s="7"/>
      <c r="T576" s="4"/>
      <c r="U576" s="4"/>
      <c r="V576" s="4"/>
      <c r="W576" s="4"/>
      <c r="X576" s="4"/>
      <c r="Y576" s="4"/>
      <c r="Z576" s="4"/>
    </row>
    <row r="577" ht="12.75" customHeight="1">
      <c r="A577" s="14"/>
      <c r="B577" s="21"/>
      <c r="C577" s="21"/>
      <c r="D577" s="14"/>
      <c r="E577" s="32"/>
      <c r="F577" s="32"/>
      <c r="G577" s="2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7"/>
      <c r="S577" s="7"/>
      <c r="T577" s="4"/>
      <c r="U577" s="4"/>
      <c r="V577" s="4"/>
      <c r="W577" s="4"/>
      <c r="X577" s="4"/>
      <c r="Y577" s="4"/>
      <c r="Z577" s="4"/>
    </row>
    <row r="578" ht="12.75" customHeight="1">
      <c r="A578" s="14"/>
      <c r="B578" s="21"/>
      <c r="C578" s="21"/>
      <c r="D578" s="14"/>
      <c r="E578" s="32"/>
      <c r="F578" s="32"/>
      <c r="G578" s="2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7"/>
      <c r="S578" s="7"/>
      <c r="T578" s="4"/>
      <c r="U578" s="4"/>
      <c r="V578" s="4"/>
      <c r="W578" s="4"/>
      <c r="X578" s="4"/>
      <c r="Y578" s="4"/>
      <c r="Z578" s="4"/>
    </row>
    <row r="579" ht="12.75" customHeight="1">
      <c r="A579" s="14"/>
      <c r="B579" s="21"/>
      <c r="C579" s="21"/>
      <c r="D579" s="14"/>
      <c r="E579" s="32"/>
      <c r="F579" s="32"/>
      <c r="G579" s="2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7"/>
      <c r="S579" s="7"/>
      <c r="T579" s="4"/>
      <c r="U579" s="4"/>
      <c r="V579" s="4"/>
      <c r="W579" s="4"/>
      <c r="X579" s="4"/>
      <c r="Y579" s="4"/>
      <c r="Z579" s="4"/>
    </row>
    <row r="580" ht="12.75" customHeight="1">
      <c r="A580" s="14"/>
      <c r="B580" s="21"/>
      <c r="C580" s="21"/>
      <c r="D580" s="14"/>
      <c r="E580" s="32"/>
      <c r="F580" s="32"/>
      <c r="G580" s="2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7"/>
      <c r="S580" s="7"/>
      <c r="T580" s="4"/>
      <c r="U580" s="4"/>
      <c r="V580" s="4"/>
      <c r="W580" s="4"/>
      <c r="X580" s="4"/>
      <c r="Y580" s="4"/>
      <c r="Z580" s="4"/>
    </row>
    <row r="581" ht="12.75" customHeight="1">
      <c r="A581" s="14"/>
      <c r="B581" s="21"/>
      <c r="C581" s="21"/>
      <c r="D581" s="14"/>
      <c r="E581" s="32"/>
      <c r="F581" s="32"/>
      <c r="G581" s="2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7"/>
      <c r="S581" s="7"/>
      <c r="T581" s="4"/>
      <c r="U581" s="4"/>
      <c r="V581" s="4"/>
      <c r="W581" s="4"/>
      <c r="X581" s="4"/>
      <c r="Y581" s="4"/>
      <c r="Z581" s="4"/>
    </row>
    <row r="582" ht="12.75" customHeight="1">
      <c r="A582" s="14"/>
      <c r="B582" s="21"/>
      <c r="C582" s="21"/>
      <c r="D582" s="14"/>
      <c r="E582" s="32"/>
      <c r="F582" s="32"/>
      <c r="G582" s="2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7"/>
      <c r="S582" s="7"/>
      <c r="T582" s="4"/>
      <c r="U582" s="4"/>
      <c r="V582" s="4"/>
      <c r="W582" s="4"/>
      <c r="X582" s="4"/>
      <c r="Y582" s="4"/>
      <c r="Z582" s="4"/>
    </row>
    <row r="583" ht="12.75" customHeight="1">
      <c r="A583" s="14"/>
      <c r="B583" s="21"/>
      <c r="C583" s="21"/>
      <c r="D583" s="14"/>
      <c r="E583" s="32"/>
      <c r="F583" s="32"/>
      <c r="G583" s="2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7"/>
      <c r="S583" s="7"/>
      <c r="T583" s="4"/>
      <c r="U583" s="4"/>
      <c r="V583" s="4"/>
      <c r="W583" s="4"/>
      <c r="X583" s="4"/>
      <c r="Y583" s="4"/>
      <c r="Z583" s="4"/>
    </row>
    <row r="584" ht="12.75" customHeight="1">
      <c r="A584" s="14"/>
      <c r="B584" s="21"/>
      <c r="C584" s="21"/>
      <c r="D584" s="14"/>
      <c r="E584" s="32"/>
      <c r="F584" s="32"/>
      <c r="G584" s="2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7"/>
      <c r="S584" s="7"/>
      <c r="T584" s="4"/>
      <c r="U584" s="4"/>
      <c r="V584" s="4"/>
      <c r="W584" s="4"/>
      <c r="X584" s="4"/>
      <c r="Y584" s="4"/>
      <c r="Z584" s="4"/>
    </row>
    <row r="585" ht="12.75" customHeight="1">
      <c r="A585" s="14"/>
      <c r="B585" s="21"/>
      <c r="C585" s="21"/>
      <c r="D585" s="14"/>
      <c r="E585" s="32"/>
      <c r="F585" s="32"/>
      <c r="G585" s="2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7"/>
      <c r="S585" s="7"/>
      <c r="T585" s="4"/>
      <c r="U585" s="4"/>
      <c r="V585" s="4"/>
      <c r="W585" s="4"/>
      <c r="X585" s="4"/>
      <c r="Y585" s="4"/>
      <c r="Z585" s="4"/>
    </row>
    <row r="586" ht="12.75" customHeight="1">
      <c r="A586" s="14"/>
      <c r="B586" s="21"/>
      <c r="C586" s="21"/>
      <c r="D586" s="14"/>
      <c r="E586" s="32"/>
      <c r="F586" s="32"/>
      <c r="G586" s="2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7"/>
      <c r="S586" s="7"/>
      <c r="T586" s="4"/>
      <c r="U586" s="4"/>
      <c r="V586" s="4"/>
      <c r="W586" s="4"/>
      <c r="X586" s="4"/>
      <c r="Y586" s="4"/>
      <c r="Z586" s="4"/>
    </row>
    <row r="587" ht="12.75" customHeight="1">
      <c r="A587" s="14"/>
      <c r="B587" s="21"/>
      <c r="C587" s="21"/>
      <c r="D587" s="14"/>
      <c r="E587" s="32"/>
      <c r="F587" s="32"/>
      <c r="G587" s="2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7"/>
      <c r="S587" s="7"/>
      <c r="T587" s="4"/>
      <c r="U587" s="4"/>
      <c r="V587" s="4"/>
      <c r="W587" s="4"/>
      <c r="X587" s="4"/>
      <c r="Y587" s="4"/>
      <c r="Z587" s="4"/>
    </row>
    <row r="588" ht="12.75" customHeight="1">
      <c r="A588" s="14"/>
      <c r="B588" s="21"/>
      <c r="C588" s="21"/>
      <c r="D588" s="14"/>
      <c r="E588" s="32"/>
      <c r="F588" s="32"/>
      <c r="G588" s="2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7"/>
      <c r="S588" s="7"/>
      <c r="T588" s="4"/>
      <c r="U588" s="4"/>
      <c r="V588" s="4"/>
      <c r="W588" s="4"/>
      <c r="X588" s="4"/>
      <c r="Y588" s="4"/>
      <c r="Z588" s="4"/>
    </row>
    <row r="589" ht="12.75" customHeight="1">
      <c r="A589" s="14"/>
      <c r="B589" s="21"/>
      <c r="C589" s="21"/>
      <c r="D589" s="14"/>
      <c r="E589" s="32"/>
      <c r="F589" s="32"/>
      <c r="G589" s="2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7"/>
      <c r="S589" s="7"/>
      <c r="T589" s="4"/>
      <c r="U589" s="4"/>
      <c r="V589" s="4"/>
      <c r="W589" s="4"/>
      <c r="X589" s="4"/>
      <c r="Y589" s="4"/>
      <c r="Z589" s="4"/>
    </row>
    <row r="590" ht="12.75" customHeight="1">
      <c r="A590" s="14"/>
      <c r="B590" s="21"/>
      <c r="C590" s="21"/>
      <c r="D590" s="14"/>
      <c r="E590" s="32"/>
      <c r="F590" s="32"/>
      <c r="G590" s="2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7"/>
      <c r="S590" s="7"/>
      <c r="T590" s="4"/>
      <c r="U590" s="4"/>
      <c r="V590" s="4"/>
      <c r="W590" s="4"/>
      <c r="X590" s="4"/>
      <c r="Y590" s="4"/>
      <c r="Z590" s="4"/>
    </row>
    <row r="591" ht="12.75" customHeight="1">
      <c r="A591" s="14"/>
      <c r="B591" s="21"/>
      <c r="C591" s="21"/>
      <c r="D591" s="14"/>
      <c r="E591" s="32"/>
      <c r="F591" s="32"/>
      <c r="G591" s="2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7"/>
      <c r="S591" s="7"/>
      <c r="T591" s="4"/>
      <c r="U591" s="4"/>
      <c r="V591" s="4"/>
      <c r="W591" s="4"/>
      <c r="X591" s="4"/>
      <c r="Y591" s="4"/>
      <c r="Z591" s="4"/>
    </row>
    <row r="592" ht="12.75" customHeight="1">
      <c r="A592" s="14"/>
      <c r="B592" s="21"/>
      <c r="C592" s="21"/>
      <c r="D592" s="14"/>
      <c r="E592" s="32"/>
      <c r="F592" s="32"/>
      <c r="G592" s="2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7"/>
      <c r="S592" s="7"/>
      <c r="T592" s="4"/>
      <c r="U592" s="4"/>
      <c r="V592" s="4"/>
      <c r="W592" s="4"/>
      <c r="X592" s="4"/>
      <c r="Y592" s="4"/>
      <c r="Z592" s="4"/>
    </row>
    <row r="593" ht="12.75" customHeight="1">
      <c r="A593" s="14"/>
      <c r="B593" s="21"/>
      <c r="C593" s="21"/>
      <c r="D593" s="14"/>
      <c r="E593" s="32"/>
      <c r="F593" s="32"/>
      <c r="G593" s="2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7"/>
      <c r="S593" s="7"/>
      <c r="T593" s="4"/>
      <c r="U593" s="4"/>
      <c r="V593" s="4"/>
      <c r="W593" s="4"/>
      <c r="X593" s="4"/>
      <c r="Y593" s="4"/>
      <c r="Z593" s="4"/>
    </row>
    <row r="594" ht="12.75" customHeight="1">
      <c r="A594" s="14"/>
      <c r="B594" s="21"/>
      <c r="C594" s="21"/>
      <c r="D594" s="14"/>
      <c r="E594" s="32"/>
      <c r="F594" s="32"/>
      <c r="G594" s="2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7"/>
      <c r="S594" s="7"/>
      <c r="T594" s="4"/>
      <c r="U594" s="4"/>
      <c r="V594" s="4"/>
      <c r="W594" s="4"/>
      <c r="X594" s="4"/>
      <c r="Y594" s="4"/>
      <c r="Z594" s="4"/>
    </row>
    <row r="595" ht="12.75" customHeight="1">
      <c r="A595" s="14"/>
      <c r="B595" s="21"/>
      <c r="C595" s="21"/>
      <c r="D595" s="14"/>
      <c r="E595" s="32"/>
      <c r="F595" s="32"/>
      <c r="G595" s="2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7"/>
      <c r="S595" s="7"/>
      <c r="T595" s="4"/>
      <c r="U595" s="4"/>
      <c r="V595" s="4"/>
      <c r="W595" s="4"/>
      <c r="X595" s="4"/>
      <c r="Y595" s="4"/>
      <c r="Z595" s="4"/>
    </row>
    <row r="596" ht="12.75" customHeight="1">
      <c r="A596" s="14"/>
      <c r="B596" s="21"/>
      <c r="C596" s="21"/>
      <c r="D596" s="14"/>
      <c r="E596" s="32"/>
      <c r="F596" s="32"/>
      <c r="G596" s="2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7"/>
      <c r="S596" s="7"/>
      <c r="T596" s="4"/>
      <c r="U596" s="4"/>
      <c r="V596" s="4"/>
      <c r="W596" s="4"/>
      <c r="X596" s="4"/>
      <c r="Y596" s="4"/>
      <c r="Z596" s="4"/>
    </row>
    <row r="597" ht="12.75" customHeight="1">
      <c r="A597" s="14"/>
      <c r="B597" s="21"/>
      <c r="C597" s="21"/>
      <c r="D597" s="14"/>
      <c r="E597" s="32"/>
      <c r="F597" s="32"/>
      <c r="G597" s="2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7"/>
      <c r="S597" s="7"/>
      <c r="T597" s="4"/>
      <c r="U597" s="4"/>
      <c r="V597" s="4"/>
      <c r="W597" s="4"/>
      <c r="X597" s="4"/>
      <c r="Y597" s="4"/>
      <c r="Z597" s="4"/>
    </row>
    <row r="598" ht="12.75" customHeight="1">
      <c r="A598" s="14"/>
      <c r="B598" s="21"/>
      <c r="C598" s="21"/>
      <c r="D598" s="14"/>
      <c r="E598" s="32"/>
      <c r="F598" s="32"/>
      <c r="G598" s="2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7"/>
      <c r="S598" s="7"/>
      <c r="T598" s="4"/>
      <c r="U598" s="4"/>
      <c r="V598" s="4"/>
      <c r="W598" s="4"/>
      <c r="X598" s="4"/>
      <c r="Y598" s="4"/>
      <c r="Z598" s="4"/>
    </row>
    <row r="599" ht="12.75" customHeight="1">
      <c r="A599" s="14"/>
      <c r="B599" s="21"/>
      <c r="C599" s="21"/>
      <c r="D599" s="14"/>
      <c r="E599" s="32"/>
      <c r="F599" s="32"/>
      <c r="G599" s="2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7"/>
      <c r="S599" s="7"/>
      <c r="T599" s="4"/>
      <c r="U599" s="4"/>
      <c r="V599" s="4"/>
      <c r="W599" s="4"/>
      <c r="X599" s="4"/>
      <c r="Y599" s="4"/>
      <c r="Z599" s="4"/>
    </row>
    <row r="600" ht="12.75" customHeight="1">
      <c r="A600" s="14"/>
      <c r="B600" s="21"/>
      <c r="C600" s="21"/>
      <c r="D600" s="14"/>
      <c r="E600" s="32"/>
      <c r="F600" s="32"/>
      <c r="G600" s="2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7"/>
      <c r="S600" s="7"/>
      <c r="T600" s="4"/>
      <c r="U600" s="4"/>
      <c r="V600" s="4"/>
      <c r="W600" s="4"/>
      <c r="X600" s="4"/>
      <c r="Y600" s="4"/>
      <c r="Z600" s="4"/>
    </row>
    <row r="601" ht="12.75" customHeight="1">
      <c r="A601" s="14"/>
      <c r="B601" s="21"/>
      <c r="C601" s="21"/>
      <c r="D601" s="14"/>
      <c r="E601" s="32"/>
      <c r="F601" s="32"/>
      <c r="G601" s="2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7"/>
      <c r="S601" s="7"/>
      <c r="T601" s="4"/>
      <c r="U601" s="4"/>
      <c r="V601" s="4"/>
      <c r="W601" s="4"/>
      <c r="X601" s="4"/>
      <c r="Y601" s="4"/>
      <c r="Z601" s="4"/>
    </row>
    <row r="602" ht="12.75" customHeight="1">
      <c r="A602" s="14"/>
      <c r="B602" s="21"/>
      <c r="C602" s="21"/>
      <c r="D602" s="14"/>
      <c r="E602" s="32"/>
      <c r="F602" s="32"/>
      <c r="G602" s="2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7"/>
      <c r="S602" s="7"/>
      <c r="T602" s="4"/>
      <c r="U602" s="4"/>
      <c r="V602" s="4"/>
      <c r="W602" s="4"/>
      <c r="X602" s="4"/>
      <c r="Y602" s="4"/>
      <c r="Z602" s="4"/>
    </row>
    <row r="603" ht="12.75" customHeight="1">
      <c r="A603" s="14"/>
      <c r="B603" s="21"/>
      <c r="C603" s="21"/>
      <c r="D603" s="14"/>
      <c r="E603" s="32"/>
      <c r="F603" s="32"/>
      <c r="G603" s="2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7"/>
      <c r="S603" s="7"/>
      <c r="T603" s="4"/>
      <c r="U603" s="4"/>
      <c r="V603" s="4"/>
      <c r="W603" s="4"/>
      <c r="X603" s="4"/>
      <c r="Y603" s="4"/>
      <c r="Z603" s="4"/>
    </row>
    <row r="604" ht="12.75" customHeight="1">
      <c r="A604" s="14"/>
      <c r="B604" s="21"/>
      <c r="C604" s="21"/>
      <c r="D604" s="14"/>
      <c r="E604" s="32"/>
      <c r="F604" s="32"/>
      <c r="G604" s="2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7"/>
      <c r="S604" s="7"/>
      <c r="T604" s="4"/>
      <c r="U604" s="4"/>
      <c r="V604" s="4"/>
      <c r="W604" s="4"/>
      <c r="X604" s="4"/>
      <c r="Y604" s="4"/>
      <c r="Z604" s="4"/>
    </row>
    <row r="605" ht="12.75" customHeight="1">
      <c r="A605" s="14"/>
      <c r="B605" s="21"/>
      <c r="C605" s="21"/>
      <c r="D605" s="14"/>
      <c r="E605" s="32"/>
      <c r="F605" s="32"/>
      <c r="G605" s="2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7"/>
      <c r="S605" s="7"/>
      <c r="T605" s="4"/>
      <c r="U605" s="4"/>
      <c r="V605" s="4"/>
      <c r="W605" s="4"/>
      <c r="X605" s="4"/>
      <c r="Y605" s="4"/>
      <c r="Z605" s="4"/>
    </row>
    <row r="606" ht="12.75" customHeight="1">
      <c r="A606" s="14"/>
      <c r="B606" s="21"/>
      <c r="C606" s="21"/>
      <c r="D606" s="14"/>
      <c r="E606" s="32"/>
      <c r="F606" s="32"/>
      <c r="G606" s="2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7"/>
      <c r="S606" s="7"/>
      <c r="T606" s="4"/>
      <c r="U606" s="4"/>
      <c r="V606" s="4"/>
      <c r="W606" s="4"/>
      <c r="X606" s="4"/>
      <c r="Y606" s="4"/>
      <c r="Z606" s="4"/>
    </row>
    <row r="607" ht="12.75" customHeight="1">
      <c r="A607" s="14"/>
      <c r="B607" s="21"/>
      <c r="C607" s="21"/>
      <c r="D607" s="14"/>
      <c r="E607" s="32"/>
      <c r="F607" s="32"/>
      <c r="G607" s="2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7"/>
      <c r="S607" s="7"/>
      <c r="T607" s="4"/>
      <c r="U607" s="4"/>
      <c r="V607" s="4"/>
      <c r="W607" s="4"/>
      <c r="X607" s="4"/>
      <c r="Y607" s="4"/>
      <c r="Z607" s="4"/>
    </row>
    <row r="608" ht="12.75" customHeight="1">
      <c r="A608" s="14"/>
      <c r="B608" s="21"/>
      <c r="C608" s="21"/>
      <c r="D608" s="14"/>
      <c r="E608" s="32"/>
      <c r="F608" s="32"/>
      <c r="G608" s="2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7"/>
      <c r="S608" s="7"/>
      <c r="T608" s="4"/>
      <c r="U608" s="4"/>
      <c r="V608" s="4"/>
      <c r="W608" s="4"/>
      <c r="X608" s="4"/>
      <c r="Y608" s="4"/>
      <c r="Z608" s="4"/>
    </row>
    <row r="609" ht="12.75" customHeight="1">
      <c r="A609" s="14"/>
      <c r="B609" s="21"/>
      <c r="C609" s="21"/>
      <c r="D609" s="14"/>
      <c r="E609" s="32"/>
      <c r="F609" s="32"/>
      <c r="G609" s="2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7"/>
      <c r="S609" s="7"/>
      <c r="T609" s="4"/>
      <c r="U609" s="4"/>
      <c r="V609" s="4"/>
      <c r="W609" s="4"/>
      <c r="X609" s="4"/>
      <c r="Y609" s="4"/>
      <c r="Z609" s="4"/>
    </row>
    <row r="610" ht="12.75" customHeight="1">
      <c r="A610" s="14"/>
      <c r="B610" s="21"/>
      <c r="C610" s="21"/>
      <c r="D610" s="14"/>
      <c r="E610" s="32"/>
      <c r="F610" s="32"/>
      <c r="G610" s="2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7"/>
      <c r="S610" s="7"/>
      <c r="T610" s="4"/>
      <c r="U610" s="4"/>
      <c r="V610" s="4"/>
      <c r="W610" s="4"/>
      <c r="X610" s="4"/>
      <c r="Y610" s="4"/>
      <c r="Z610" s="4"/>
    </row>
    <row r="611" ht="12.75" customHeight="1">
      <c r="A611" s="14"/>
      <c r="B611" s="21"/>
      <c r="C611" s="21"/>
      <c r="D611" s="14"/>
      <c r="E611" s="32"/>
      <c r="F611" s="32"/>
      <c r="G611" s="2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7"/>
      <c r="S611" s="7"/>
      <c r="T611" s="4"/>
      <c r="U611" s="4"/>
      <c r="V611" s="4"/>
      <c r="W611" s="4"/>
      <c r="X611" s="4"/>
      <c r="Y611" s="4"/>
      <c r="Z611" s="4"/>
    </row>
    <row r="612" ht="12.75" customHeight="1">
      <c r="A612" s="14"/>
      <c r="B612" s="21"/>
      <c r="C612" s="21"/>
      <c r="D612" s="14"/>
      <c r="E612" s="32"/>
      <c r="F612" s="32"/>
      <c r="G612" s="2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7"/>
      <c r="S612" s="7"/>
      <c r="T612" s="4"/>
      <c r="U612" s="4"/>
      <c r="V612" s="4"/>
      <c r="W612" s="4"/>
      <c r="X612" s="4"/>
      <c r="Y612" s="4"/>
      <c r="Z612" s="4"/>
    </row>
    <row r="613" ht="12.75" customHeight="1">
      <c r="A613" s="14"/>
      <c r="B613" s="21"/>
      <c r="C613" s="21"/>
      <c r="D613" s="14"/>
      <c r="E613" s="32"/>
      <c r="F613" s="32"/>
      <c r="G613" s="2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7"/>
      <c r="S613" s="7"/>
      <c r="T613" s="4"/>
      <c r="U613" s="4"/>
      <c r="V613" s="4"/>
      <c r="W613" s="4"/>
      <c r="X613" s="4"/>
      <c r="Y613" s="4"/>
      <c r="Z613" s="4"/>
    </row>
    <row r="614" ht="12.75" customHeight="1">
      <c r="A614" s="14"/>
      <c r="B614" s="21"/>
      <c r="C614" s="21"/>
      <c r="D614" s="14"/>
      <c r="E614" s="32"/>
      <c r="F614" s="32"/>
      <c r="G614" s="2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7"/>
      <c r="S614" s="7"/>
      <c r="T614" s="4"/>
      <c r="U614" s="4"/>
      <c r="V614" s="4"/>
      <c r="W614" s="4"/>
      <c r="X614" s="4"/>
      <c r="Y614" s="4"/>
      <c r="Z614" s="4"/>
    </row>
    <row r="615" ht="12.75" customHeight="1">
      <c r="A615" s="14"/>
      <c r="B615" s="21"/>
      <c r="C615" s="21"/>
      <c r="D615" s="14"/>
      <c r="E615" s="32"/>
      <c r="F615" s="32"/>
      <c r="G615" s="2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7"/>
      <c r="S615" s="7"/>
      <c r="T615" s="4"/>
      <c r="U615" s="4"/>
      <c r="V615" s="4"/>
      <c r="W615" s="4"/>
      <c r="X615" s="4"/>
      <c r="Y615" s="4"/>
      <c r="Z615" s="4"/>
    </row>
    <row r="616" ht="12.75" customHeight="1">
      <c r="A616" s="14"/>
      <c r="B616" s="21"/>
      <c r="C616" s="21"/>
      <c r="D616" s="14"/>
      <c r="E616" s="32"/>
      <c r="F616" s="32"/>
      <c r="G616" s="2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7"/>
      <c r="S616" s="7"/>
      <c r="T616" s="4"/>
      <c r="U616" s="4"/>
      <c r="V616" s="4"/>
      <c r="W616" s="4"/>
      <c r="X616" s="4"/>
      <c r="Y616" s="4"/>
      <c r="Z616" s="4"/>
    </row>
    <row r="617" ht="12.75" customHeight="1">
      <c r="A617" s="14"/>
      <c r="B617" s="21"/>
      <c r="C617" s="21"/>
      <c r="D617" s="14"/>
      <c r="E617" s="32"/>
      <c r="F617" s="32"/>
      <c r="G617" s="2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7"/>
      <c r="S617" s="7"/>
      <c r="T617" s="4"/>
      <c r="U617" s="4"/>
      <c r="V617" s="4"/>
      <c r="W617" s="4"/>
      <c r="X617" s="4"/>
      <c r="Y617" s="4"/>
      <c r="Z617" s="4"/>
    </row>
    <row r="618" ht="12.75" customHeight="1">
      <c r="A618" s="14"/>
      <c r="B618" s="21"/>
      <c r="C618" s="21"/>
      <c r="D618" s="14"/>
      <c r="E618" s="32"/>
      <c r="F618" s="32"/>
      <c r="G618" s="2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7"/>
      <c r="S618" s="7"/>
      <c r="T618" s="4"/>
      <c r="U618" s="4"/>
      <c r="V618" s="4"/>
      <c r="W618" s="4"/>
      <c r="X618" s="4"/>
      <c r="Y618" s="4"/>
      <c r="Z618" s="4"/>
    </row>
    <row r="619" ht="12.75" customHeight="1">
      <c r="A619" s="14"/>
      <c r="B619" s="21"/>
      <c r="C619" s="21"/>
      <c r="D619" s="14"/>
      <c r="E619" s="32"/>
      <c r="F619" s="32"/>
      <c r="G619" s="2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7"/>
      <c r="S619" s="7"/>
      <c r="T619" s="4"/>
      <c r="U619" s="4"/>
      <c r="V619" s="4"/>
      <c r="W619" s="4"/>
      <c r="X619" s="4"/>
      <c r="Y619" s="4"/>
      <c r="Z619" s="4"/>
    </row>
    <row r="620" ht="12.75" customHeight="1">
      <c r="A620" s="14"/>
      <c r="B620" s="21"/>
      <c r="C620" s="21"/>
      <c r="D620" s="14"/>
      <c r="E620" s="32"/>
      <c r="F620" s="32"/>
      <c r="G620" s="2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7"/>
      <c r="S620" s="7"/>
      <c r="T620" s="4"/>
      <c r="U620" s="4"/>
      <c r="V620" s="4"/>
      <c r="W620" s="4"/>
      <c r="X620" s="4"/>
      <c r="Y620" s="4"/>
      <c r="Z620" s="4"/>
    </row>
    <row r="621" ht="12.75" customHeight="1">
      <c r="A621" s="14"/>
      <c r="B621" s="21"/>
      <c r="C621" s="21"/>
      <c r="D621" s="14"/>
      <c r="E621" s="32"/>
      <c r="F621" s="32"/>
      <c r="G621" s="2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7"/>
      <c r="S621" s="7"/>
      <c r="T621" s="4"/>
      <c r="U621" s="4"/>
      <c r="V621" s="4"/>
      <c r="W621" s="4"/>
      <c r="X621" s="4"/>
      <c r="Y621" s="4"/>
      <c r="Z621" s="4"/>
    </row>
    <row r="622" ht="12.75" customHeight="1">
      <c r="A622" s="14"/>
      <c r="B622" s="21"/>
      <c r="C622" s="21"/>
      <c r="D622" s="14"/>
      <c r="E622" s="32"/>
      <c r="F622" s="32"/>
      <c r="G622" s="2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7"/>
      <c r="S622" s="7"/>
      <c r="T622" s="4"/>
      <c r="U622" s="4"/>
      <c r="V622" s="4"/>
      <c r="W622" s="4"/>
      <c r="X622" s="4"/>
      <c r="Y622" s="4"/>
      <c r="Z622" s="4"/>
    </row>
    <row r="623" ht="12.75" customHeight="1">
      <c r="A623" s="14"/>
      <c r="B623" s="21"/>
      <c r="C623" s="21"/>
      <c r="D623" s="14"/>
      <c r="E623" s="32"/>
      <c r="F623" s="32"/>
      <c r="G623" s="2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7"/>
      <c r="S623" s="7"/>
      <c r="T623" s="4"/>
      <c r="U623" s="4"/>
      <c r="V623" s="4"/>
      <c r="W623" s="4"/>
      <c r="X623" s="4"/>
      <c r="Y623" s="4"/>
      <c r="Z623" s="4"/>
    </row>
    <row r="624" ht="12.75" customHeight="1">
      <c r="A624" s="14"/>
      <c r="B624" s="21"/>
      <c r="C624" s="21"/>
      <c r="D624" s="14"/>
      <c r="E624" s="32"/>
      <c r="F624" s="32"/>
      <c r="G624" s="2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7"/>
      <c r="S624" s="7"/>
      <c r="T624" s="4"/>
      <c r="U624" s="4"/>
      <c r="V624" s="4"/>
      <c r="W624" s="4"/>
      <c r="X624" s="4"/>
      <c r="Y624" s="4"/>
      <c r="Z624" s="4"/>
    </row>
    <row r="625" ht="12.75" customHeight="1">
      <c r="A625" s="14"/>
      <c r="B625" s="21"/>
      <c r="C625" s="21"/>
      <c r="D625" s="14"/>
      <c r="E625" s="32"/>
      <c r="F625" s="32"/>
      <c r="G625" s="2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7"/>
      <c r="S625" s="7"/>
      <c r="T625" s="4"/>
      <c r="U625" s="4"/>
      <c r="V625" s="4"/>
      <c r="W625" s="4"/>
      <c r="X625" s="4"/>
      <c r="Y625" s="4"/>
      <c r="Z625" s="4"/>
    </row>
    <row r="626" ht="12.75" customHeight="1">
      <c r="A626" s="14"/>
      <c r="B626" s="21"/>
      <c r="C626" s="21"/>
      <c r="D626" s="14"/>
      <c r="E626" s="32"/>
      <c r="F626" s="32"/>
      <c r="G626" s="2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7"/>
      <c r="S626" s="7"/>
      <c r="T626" s="4"/>
      <c r="U626" s="4"/>
      <c r="V626" s="4"/>
      <c r="W626" s="4"/>
      <c r="X626" s="4"/>
      <c r="Y626" s="4"/>
      <c r="Z626" s="4"/>
    </row>
    <row r="627" ht="12.75" customHeight="1">
      <c r="A627" s="14"/>
      <c r="B627" s="21"/>
      <c r="C627" s="21"/>
      <c r="D627" s="14"/>
      <c r="E627" s="32"/>
      <c r="F627" s="32"/>
      <c r="G627" s="2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7"/>
      <c r="S627" s="7"/>
      <c r="T627" s="4"/>
      <c r="U627" s="4"/>
      <c r="V627" s="4"/>
      <c r="W627" s="4"/>
      <c r="X627" s="4"/>
      <c r="Y627" s="4"/>
      <c r="Z627" s="4"/>
    </row>
    <row r="628" ht="12.75" customHeight="1">
      <c r="A628" s="14"/>
      <c r="B628" s="21"/>
      <c r="C628" s="21"/>
      <c r="D628" s="14"/>
      <c r="E628" s="32"/>
      <c r="F628" s="32"/>
      <c r="G628" s="2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7"/>
      <c r="S628" s="7"/>
      <c r="T628" s="4"/>
      <c r="U628" s="4"/>
      <c r="V628" s="4"/>
      <c r="W628" s="4"/>
      <c r="X628" s="4"/>
      <c r="Y628" s="4"/>
      <c r="Z628" s="4"/>
    </row>
    <row r="629" ht="12.75" customHeight="1">
      <c r="A629" s="14"/>
      <c r="B629" s="21"/>
      <c r="C629" s="21"/>
      <c r="D629" s="14"/>
      <c r="E629" s="32"/>
      <c r="F629" s="32"/>
      <c r="G629" s="2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7"/>
      <c r="S629" s="7"/>
      <c r="T629" s="4"/>
      <c r="U629" s="4"/>
      <c r="V629" s="4"/>
      <c r="W629" s="4"/>
      <c r="X629" s="4"/>
      <c r="Y629" s="4"/>
      <c r="Z629" s="4"/>
    </row>
    <row r="630" ht="12.75" customHeight="1">
      <c r="A630" s="14"/>
      <c r="B630" s="21"/>
      <c r="C630" s="21"/>
      <c r="D630" s="14"/>
      <c r="E630" s="32"/>
      <c r="F630" s="32"/>
      <c r="G630" s="2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7"/>
      <c r="S630" s="7"/>
      <c r="T630" s="4"/>
      <c r="U630" s="4"/>
      <c r="V630" s="4"/>
      <c r="W630" s="4"/>
      <c r="X630" s="4"/>
      <c r="Y630" s="4"/>
      <c r="Z630" s="4"/>
    </row>
    <row r="631" ht="12.75" customHeight="1">
      <c r="A631" s="14"/>
      <c r="B631" s="21"/>
      <c r="C631" s="21"/>
      <c r="D631" s="14"/>
      <c r="E631" s="32"/>
      <c r="F631" s="32"/>
      <c r="G631" s="2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7"/>
      <c r="S631" s="7"/>
      <c r="T631" s="4"/>
      <c r="U631" s="4"/>
      <c r="V631" s="4"/>
      <c r="W631" s="4"/>
      <c r="X631" s="4"/>
      <c r="Y631" s="4"/>
      <c r="Z631" s="4"/>
    </row>
    <row r="632" ht="12.75" customHeight="1">
      <c r="A632" s="14"/>
      <c r="B632" s="21"/>
      <c r="C632" s="21"/>
      <c r="D632" s="14"/>
      <c r="E632" s="32"/>
      <c r="F632" s="32"/>
      <c r="G632" s="2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7"/>
      <c r="S632" s="7"/>
      <c r="T632" s="4"/>
      <c r="U632" s="4"/>
      <c r="V632" s="4"/>
      <c r="W632" s="4"/>
      <c r="X632" s="4"/>
      <c r="Y632" s="4"/>
      <c r="Z632" s="4"/>
    </row>
    <row r="633" ht="12.75" customHeight="1">
      <c r="A633" s="14"/>
      <c r="B633" s="21"/>
      <c r="C633" s="21"/>
      <c r="D633" s="14"/>
      <c r="E633" s="32"/>
      <c r="F633" s="32"/>
      <c r="G633" s="2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7"/>
      <c r="S633" s="7"/>
      <c r="T633" s="4"/>
      <c r="U633" s="4"/>
      <c r="V633" s="4"/>
      <c r="W633" s="4"/>
      <c r="X633" s="4"/>
      <c r="Y633" s="4"/>
      <c r="Z633" s="4"/>
    </row>
    <row r="634" ht="12.75" customHeight="1">
      <c r="A634" s="14"/>
      <c r="B634" s="21"/>
      <c r="C634" s="21"/>
      <c r="D634" s="14"/>
      <c r="E634" s="32"/>
      <c r="F634" s="32"/>
      <c r="G634" s="2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7"/>
      <c r="S634" s="7"/>
      <c r="T634" s="4"/>
      <c r="U634" s="4"/>
      <c r="V634" s="4"/>
      <c r="W634" s="4"/>
      <c r="X634" s="4"/>
      <c r="Y634" s="4"/>
      <c r="Z634" s="4"/>
    </row>
    <row r="635" ht="12.75" customHeight="1">
      <c r="A635" s="14"/>
      <c r="B635" s="21"/>
      <c r="C635" s="21"/>
      <c r="D635" s="14"/>
      <c r="E635" s="32"/>
      <c r="F635" s="32"/>
      <c r="G635" s="2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7"/>
      <c r="S635" s="7"/>
      <c r="T635" s="4"/>
      <c r="U635" s="4"/>
      <c r="V635" s="4"/>
      <c r="W635" s="4"/>
      <c r="X635" s="4"/>
      <c r="Y635" s="4"/>
      <c r="Z635" s="4"/>
    </row>
    <row r="636" ht="12.75" customHeight="1">
      <c r="A636" s="14"/>
      <c r="B636" s="21"/>
      <c r="C636" s="21"/>
      <c r="D636" s="14"/>
      <c r="E636" s="32"/>
      <c r="F636" s="32"/>
      <c r="G636" s="2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7"/>
      <c r="S636" s="7"/>
      <c r="T636" s="4"/>
      <c r="U636" s="4"/>
      <c r="V636" s="4"/>
      <c r="W636" s="4"/>
      <c r="X636" s="4"/>
      <c r="Y636" s="4"/>
      <c r="Z636" s="4"/>
    </row>
    <row r="637" ht="12.75" customHeight="1">
      <c r="A637" s="14"/>
      <c r="B637" s="21"/>
      <c r="C637" s="21"/>
      <c r="D637" s="14"/>
      <c r="E637" s="32"/>
      <c r="F637" s="32"/>
      <c r="G637" s="2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7"/>
      <c r="S637" s="7"/>
      <c r="T637" s="4"/>
      <c r="U637" s="4"/>
      <c r="V637" s="4"/>
      <c r="W637" s="4"/>
      <c r="X637" s="4"/>
      <c r="Y637" s="4"/>
      <c r="Z637" s="4"/>
    </row>
    <row r="638" ht="12.75" customHeight="1">
      <c r="A638" s="14"/>
      <c r="B638" s="21"/>
      <c r="C638" s="21"/>
      <c r="D638" s="14"/>
      <c r="E638" s="32"/>
      <c r="F638" s="32"/>
      <c r="G638" s="2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7"/>
      <c r="S638" s="7"/>
      <c r="T638" s="4"/>
      <c r="U638" s="4"/>
      <c r="V638" s="4"/>
      <c r="W638" s="4"/>
      <c r="X638" s="4"/>
      <c r="Y638" s="4"/>
      <c r="Z638" s="4"/>
    </row>
    <row r="639" ht="12.75" customHeight="1">
      <c r="A639" s="14"/>
      <c r="B639" s="21"/>
      <c r="C639" s="21"/>
      <c r="D639" s="14"/>
      <c r="E639" s="32"/>
      <c r="F639" s="32"/>
      <c r="G639" s="2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7"/>
      <c r="S639" s="7"/>
      <c r="T639" s="4"/>
      <c r="U639" s="4"/>
      <c r="V639" s="4"/>
      <c r="W639" s="4"/>
      <c r="X639" s="4"/>
      <c r="Y639" s="4"/>
      <c r="Z639" s="4"/>
    </row>
    <row r="640" ht="12.75" customHeight="1">
      <c r="A640" s="14"/>
      <c r="B640" s="21"/>
      <c r="C640" s="21"/>
      <c r="D640" s="14"/>
      <c r="E640" s="32"/>
      <c r="F640" s="32"/>
      <c r="G640" s="2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7"/>
      <c r="S640" s="7"/>
      <c r="T640" s="4"/>
      <c r="U640" s="4"/>
      <c r="V640" s="4"/>
      <c r="W640" s="4"/>
      <c r="X640" s="4"/>
      <c r="Y640" s="4"/>
      <c r="Z640" s="4"/>
    </row>
    <row r="641" ht="12.75" customHeight="1">
      <c r="A641" s="14"/>
      <c r="B641" s="21"/>
      <c r="C641" s="21"/>
      <c r="D641" s="14"/>
      <c r="E641" s="32"/>
      <c r="F641" s="32"/>
      <c r="G641" s="2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7"/>
      <c r="S641" s="7"/>
      <c r="T641" s="4"/>
      <c r="U641" s="4"/>
      <c r="V641" s="4"/>
      <c r="W641" s="4"/>
      <c r="X641" s="4"/>
      <c r="Y641" s="4"/>
      <c r="Z641" s="4"/>
    </row>
    <row r="642" ht="12.75" customHeight="1">
      <c r="A642" s="14"/>
      <c r="B642" s="21"/>
      <c r="C642" s="21"/>
      <c r="D642" s="14"/>
      <c r="E642" s="32"/>
      <c r="F642" s="32"/>
      <c r="G642" s="2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7"/>
      <c r="S642" s="7"/>
      <c r="T642" s="4"/>
      <c r="U642" s="4"/>
      <c r="V642" s="4"/>
      <c r="W642" s="4"/>
      <c r="X642" s="4"/>
      <c r="Y642" s="4"/>
      <c r="Z642" s="4"/>
    </row>
    <row r="643" ht="12.75" customHeight="1">
      <c r="A643" s="14"/>
      <c r="B643" s="21"/>
      <c r="C643" s="21"/>
      <c r="D643" s="14"/>
      <c r="E643" s="32"/>
      <c r="F643" s="32"/>
      <c r="G643" s="2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7"/>
      <c r="S643" s="7"/>
      <c r="T643" s="4"/>
      <c r="U643" s="4"/>
      <c r="V643" s="4"/>
      <c r="W643" s="4"/>
      <c r="X643" s="4"/>
      <c r="Y643" s="4"/>
      <c r="Z643" s="4"/>
    </row>
    <row r="644" ht="12.75" customHeight="1">
      <c r="A644" s="14"/>
      <c r="B644" s="21"/>
      <c r="C644" s="21"/>
      <c r="D644" s="14"/>
      <c r="E644" s="32"/>
      <c r="F644" s="32"/>
      <c r="G644" s="2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7"/>
      <c r="S644" s="7"/>
      <c r="T644" s="4"/>
      <c r="U644" s="4"/>
      <c r="V644" s="4"/>
      <c r="W644" s="4"/>
      <c r="X644" s="4"/>
      <c r="Y644" s="4"/>
      <c r="Z644" s="4"/>
    </row>
    <row r="645" ht="12.75" customHeight="1">
      <c r="A645" s="14"/>
      <c r="B645" s="21"/>
      <c r="C645" s="21"/>
      <c r="D645" s="14"/>
      <c r="E645" s="32"/>
      <c r="F645" s="32"/>
      <c r="G645" s="2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7"/>
      <c r="S645" s="7"/>
      <c r="T645" s="4"/>
      <c r="U645" s="4"/>
      <c r="V645" s="4"/>
      <c r="W645" s="4"/>
      <c r="X645" s="4"/>
      <c r="Y645" s="4"/>
      <c r="Z645" s="4"/>
    </row>
    <row r="646" ht="12.75" customHeight="1">
      <c r="A646" s="14"/>
      <c r="B646" s="21"/>
      <c r="C646" s="21"/>
      <c r="D646" s="14"/>
      <c r="E646" s="32"/>
      <c r="F646" s="32"/>
      <c r="G646" s="2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7"/>
      <c r="S646" s="7"/>
      <c r="T646" s="4"/>
      <c r="U646" s="4"/>
      <c r="V646" s="4"/>
      <c r="W646" s="4"/>
      <c r="X646" s="4"/>
      <c r="Y646" s="4"/>
      <c r="Z646" s="4"/>
    </row>
    <row r="647" ht="12.75" customHeight="1">
      <c r="A647" s="14"/>
      <c r="B647" s="21"/>
      <c r="C647" s="21"/>
      <c r="D647" s="14"/>
      <c r="E647" s="32"/>
      <c r="F647" s="32"/>
      <c r="G647" s="2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7"/>
      <c r="S647" s="7"/>
      <c r="T647" s="4"/>
      <c r="U647" s="4"/>
      <c r="V647" s="4"/>
      <c r="W647" s="4"/>
      <c r="X647" s="4"/>
      <c r="Y647" s="4"/>
      <c r="Z647" s="4"/>
    </row>
    <row r="648" ht="12.75" customHeight="1">
      <c r="A648" s="14"/>
      <c r="B648" s="21"/>
      <c r="C648" s="21"/>
      <c r="D648" s="14"/>
      <c r="E648" s="32"/>
      <c r="F648" s="32"/>
      <c r="G648" s="2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7"/>
      <c r="S648" s="7"/>
      <c r="T648" s="4"/>
      <c r="U648" s="4"/>
      <c r="V648" s="4"/>
      <c r="W648" s="4"/>
      <c r="X648" s="4"/>
      <c r="Y648" s="4"/>
      <c r="Z648" s="4"/>
    </row>
    <row r="649" ht="12.75" customHeight="1">
      <c r="A649" s="14"/>
      <c r="B649" s="21"/>
      <c r="C649" s="21"/>
      <c r="D649" s="14"/>
      <c r="E649" s="32"/>
      <c r="F649" s="32"/>
      <c r="G649" s="2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7"/>
      <c r="S649" s="7"/>
      <c r="T649" s="4"/>
      <c r="U649" s="4"/>
      <c r="V649" s="4"/>
      <c r="W649" s="4"/>
      <c r="X649" s="4"/>
      <c r="Y649" s="4"/>
      <c r="Z649" s="4"/>
    </row>
    <row r="650" ht="12.75" customHeight="1">
      <c r="A650" s="14"/>
      <c r="B650" s="21"/>
      <c r="C650" s="21"/>
      <c r="D650" s="14"/>
      <c r="E650" s="32"/>
      <c r="F650" s="32"/>
      <c r="G650" s="2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7"/>
      <c r="S650" s="7"/>
      <c r="T650" s="4"/>
      <c r="U650" s="4"/>
      <c r="V650" s="4"/>
      <c r="W650" s="4"/>
      <c r="X650" s="4"/>
      <c r="Y650" s="4"/>
      <c r="Z650" s="4"/>
    </row>
    <row r="651" ht="12.75" customHeight="1">
      <c r="A651" s="14"/>
      <c r="B651" s="21"/>
      <c r="C651" s="21"/>
      <c r="D651" s="14"/>
      <c r="E651" s="32"/>
      <c r="F651" s="32"/>
      <c r="G651" s="2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7"/>
      <c r="S651" s="7"/>
      <c r="T651" s="4"/>
      <c r="U651" s="4"/>
      <c r="V651" s="4"/>
      <c r="W651" s="4"/>
      <c r="X651" s="4"/>
      <c r="Y651" s="4"/>
      <c r="Z651" s="4"/>
    </row>
    <row r="652" ht="12.75" customHeight="1">
      <c r="A652" s="14"/>
      <c r="B652" s="21"/>
      <c r="C652" s="21"/>
      <c r="D652" s="14"/>
      <c r="E652" s="32"/>
      <c r="F652" s="32"/>
      <c r="G652" s="2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7"/>
      <c r="S652" s="7"/>
      <c r="T652" s="4"/>
      <c r="U652" s="4"/>
      <c r="V652" s="4"/>
      <c r="W652" s="4"/>
      <c r="X652" s="4"/>
      <c r="Y652" s="4"/>
      <c r="Z652" s="4"/>
    </row>
    <row r="653" ht="12.75" customHeight="1">
      <c r="A653" s="14"/>
      <c r="B653" s="21"/>
      <c r="C653" s="21"/>
      <c r="D653" s="14"/>
      <c r="E653" s="32"/>
      <c r="F653" s="32"/>
      <c r="G653" s="2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7"/>
      <c r="S653" s="7"/>
      <c r="T653" s="4"/>
      <c r="U653" s="4"/>
      <c r="V653" s="4"/>
      <c r="W653" s="4"/>
      <c r="X653" s="4"/>
      <c r="Y653" s="4"/>
      <c r="Z653" s="4"/>
    </row>
    <row r="654" ht="12.75" customHeight="1">
      <c r="A654" s="14"/>
      <c r="B654" s="21"/>
      <c r="C654" s="21"/>
      <c r="D654" s="14"/>
      <c r="E654" s="32"/>
      <c r="F654" s="32"/>
      <c r="G654" s="2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7"/>
      <c r="S654" s="7"/>
      <c r="T654" s="4"/>
      <c r="U654" s="4"/>
      <c r="V654" s="4"/>
      <c r="W654" s="4"/>
      <c r="X654" s="4"/>
      <c r="Y654" s="4"/>
      <c r="Z654" s="4"/>
    </row>
    <row r="655" ht="12.75" customHeight="1">
      <c r="A655" s="14"/>
      <c r="B655" s="21"/>
      <c r="C655" s="21"/>
      <c r="D655" s="14"/>
      <c r="E655" s="32"/>
      <c r="F655" s="32"/>
      <c r="G655" s="2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7"/>
      <c r="S655" s="7"/>
      <c r="T655" s="4"/>
      <c r="U655" s="4"/>
      <c r="V655" s="4"/>
      <c r="W655" s="4"/>
      <c r="X655" s="4"/>
      <c r="Y655" s="4"/>
      <c r="Z655" s="4"/>
    </row>
    <row r="656" ht="12.75" customHeight="1">
      <c r="A656" s="14"/>
      <c r="B656" s="21"/>
      <c r="C656" s="21"/>
      <c r="D656" s="14"/>
      <c r="E656" s="32"/>
      <c r="F656" s="32"/>
      <c r="G656" s="2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7"/>
      <c r="S656" s="7"/>
      <c r="T656" s="4"/>
      <c r="U656" s="4"/>
      <c r="V656" s="4"/>
      <c r="W656" s="4"/>
      <c r="X656" s="4"/>
      <c r="Y656" s="4"/>
      <c r="Z656" s="4"/>
    </row>
    <row r="657" ht="12.75" customHeight="1">
      <c r="A657" s="14"/>
      <c r="B657" s="21"/>
      <c r="C657" s="21"/>
      <c r="D657" s="14"/>
      <c r="E657" s="32"/>
      <c r="F657" s="32"/>
      <c r="G657" s="2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7"/>
      <c r="S657" s="7"/>
      <c r="T657" s="4"/>
      <c r="U657" s="4"/>
      <c r="V657" s="4"/>
      <c r="W657" s="4"/>
      <c r="X657" s="4"/>
      <c r="Y657" s="4"/>
      <c r="Z657" s="4"/>
    </row>
    <row r="658" ht="12.75" customHeight="1">
      <c r="A658" s="14"/>
      <c r="B658" s="21"/>
      <c r="C658" s="21"/>
      <c r="D658" s="14"/>
      <c r="E658" s="32"/>
      <c r="F658" s="32"/>
      <c r="G658" s="2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7"/>
      <c r="S658" s="7"/>
      <c r="T658" s="4"/>
      <c r="U658" s="4"/>
      <c r="V658" s="4"/>
      <c r="W658" s="4"/>
      <c r="X658" s="4"/>
      <c r="Y658" s="4"/>
      <c r="Z658" s="4"/>
    </row>
    <row r="659" ht="12.75" customHeight="1">
      <c r="A659" s="14"/>
      <c r="B659" s="21"/>
      <c r="C659" s="21"/>
      <c r="D659" s="14"/>
      <c r="E659" s="32"/>
      <c r="F659" s="32"/>
      <c r="G659" s="2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7"/>
      <c r="S659" s="7"/>
      <c r="T659" s="4"/>
      <c r="U659" s="4"/>
      <c r="V659" s="4"/>
      <c r="W659" s="4"/>
      <c r="X659" s="4"/>
      <c r="Y659" s="4"/>
      <c r="Z659" s="4"/>
    </row>
    <row r="660" ht="12.75" customHeight="1">
      <c r="A660" s="14"/>
      <c r="B660" s="21"/>
      <c r="C660" s="21"/>
      <c r="D660" s="14"/>
      <c r="E660" s="32"/>
      <c r="F660" s="32"/>
      <c r="G660" s="2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7"/>
      <c r="S660" s="7"/>
      <c r="T660" s="4"/>
      <c r="U660" s="4"/>
      <c r="V660" s="4"/>
      <c r="W660" s="4"/>
      <c r="X660" s="4"/>
      <c r="Y660" s="4"/>
      <c r="Z660" s="4"/>
    </row>
    <row r="661" ht="12.75" customHeight="1">
      <c r="A661" s="14"/>
      <c r="B661" s="21"/>
      <c r="C661" s="21"/>
      <c r="D661" s="14"/>
      <c r="E661" s="32"/>
      <c r="F661" s="32"/>
      <c r="G661" s="2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7"/>
      <c r="S661" s="7"/>
      <c r="T661" s="4"/>
      <c r="U661" s="4"/>
      <c r="V661" s="4"/>
      <c r="W661" s="4"/>
      <c r="X661" s="4"/>
      <c r="Y661" s="4"/>
      <c r="Z661" s="4"/>
    </row>
    <row r="662" ht="12.75" customHeight="1">
      <c r="A662" s="14"/>
      <c r="B662" s="21"/>
      <c r="C662" s="21"/>
      <c r="D662" s="14"/>
      <c r="E662" s="32"/>
      <c r="F662" s="32"/>
      <c r="G662" s="2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7"/>
      <c r="S662" s="7"/>
      <c r="T662" s="4"/>
      <c r="U662" s="4"/>
      <c r="V662" s="4"/>
      <c r="W662" s="4"/>
      <c r="X662" s="4"/>
      <c r="Y662" s="4"/>
      <c r="Z662" s="4"/>
    </row>
    <row r="663" ht="12.75" customHeight="1">
      <c r="A663" s="14"/>
      <c r="B663" s="21"/>
      <c r="C663" s="21"/>
      <c r="D663" s="14"/>
      <c r="E663" s="32"/>
      <c r="F663" s="32"/>
      <c r="G663" s="2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7"/>
      <c r="S663" s="7"/>
      <c r="T663" s="4"/>
      <c r="U663" s="4"/>
      <c r="V663" s="4"/>
      <c r="W663" s="4"/>
      <c r="X663" s="4"/>
      <c r="Y663" s="4"/>
      <c r="Z663" s="4"/>
    </row>
    <row r="664" ht="12.75" customHeight="1">
      <c r="A664" s="14"/>
      <c r="B664" s="21"/>
      <c r="C664" s="21"/>
      <c r="D664" s="14"/>
      <c r="E664" s="32"/>
      <c r="F664" s="32"/>
      <c r="G664" s="2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7"/>
      <c r="S664" s="7"/>
      <c r="T664" s="4"/>
      <c r="U664" s="4"/>
      <c r="V664" s="4"/>
      <c r="W664" s="4"/>
      <c r="X664" s="4"/>
      <c r="Y664" s="4"/>
      <c r="Z664" s="4"/>
    </row>
    <row r="665" ht="12.75" customHeight="1">
      <c r="A665" s="14"/>
      <c r="B665" s="21"/>
      <c r="C665" s="21"/>
      <c r="D665" s="14"/>
      <c r="E665" s="32"/>
      <c r="F665" s="32"/>
      <c r="G665" s="2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7"/>
      <c r="S665" s="7"/>
      <c r="T665" s="4"/>
      <c r="U665" s="4"/>
      <c r="V665" s="4"/>
      <c r="W665" s="4"/>
      <c r="X665" s="4"/>
      <c r="Y665" s="4"/>
      <c r="Z665" s="4"/>
    </row>
    <row r="666" ht="12.75" customHeight="1">
      <c r="A666" s="14"/>
      <c r="B666" s="21"/>
      <c r="C666" s="21"/>
      <c r="D666" s="14"/>
      <c r="E666" s="32"/>
      <c r="F666" s="32"/>
      <c r="G666" s="2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7"/>
      <c r="S666" s="7"/>
      <c r="T666" s="4"/>
      <c r="U666" s="4"/>
      <c r="V666" s="4"/>
      <c r="W666" s="4"/>
      <c r="X666" s="4"/>
      <c r="Y666" s="4"/>
      <c r="Z666" s="4"/>
    </row>
    <row r="667" ht="12.75" customHeight="1">
      <c r="A667" s="14"/>
      <c r="B667" s="21"/>
      <c r="C667" s="21"/>
      <c r="D667" s="14"/>
      <c r="E667" s="32"/>
      <c r="F667" s="32"/>
      <c r="G667" s="2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7"/>
      <c r="S667" s="7"/>
      <c r="T667" s="4"/>
      <c r="U667" s="4"/>
      <c r="V667" s="4"/>
      <c r="W667" s="4"/>
      <c r="X667" s="4"/>
      <c r="Y667" s="4"/>
      <c r="Z667" s="4"/>
    </row>
    <row r="668" ht="12.75" customHeight="1">
      <c r="A668" s="14"/>
      <c r="B668" s="21"/>
      <c r="C668" s="21"/>
      <c r="D668" s="14"/>
      <c r="E668" s="32"/>
      <c r="F668" s="32"/>
      <c r="G668" s="2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7"/>
      <c r="S668" s="7"/>
      <c r="T668" s="4"/>
      <c r="U668" s="4"/>
      <c r="V668" s="4"/>
      <c r="W668" s="4"/>
      <c r="X668" s="4"/>
      <c r="Y668" s="4"/>
      <c r="Z668" s="4"/>
    </row>
    <row r="669" ht="12.75" customHeight="1">
      <c r="A669" s="14"/>
      <c r="B669" s="21"/>
      <c r="C669" s="21"/>
      <c r="D669" s="14"/>
      <c r="E669" s="32"/>
      <c r="F669" s="32"/>
      <c r="G669" s="2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7"/>
      <c r="S669" s="7"/>
      <c r="T669" s="4"/>
      <c r="U669" s="4"/>
      <c r="V669" s="4"/>
      <c r="W669" s="4"/>
      <c r="X669" s="4"/>
      <c r="Y669" s="4"/>
      <c r="Z669" s="4"/>
    </row>
    <row r="670" ht="12.75" customHeight="1">
      <c r="A670" s="14"/>
      <c r="B670" s="21"/>
      <c r="C670" s="21"/>
      <c r="D670" s="14"/>
      <c r="E670" s="32"/>
      <c r="F670" s="32"/>
      <c r="G670" s="2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7"/>
      <c r="S670" s="7"/>
      <c r="T670" s="4"/>
      <c r="U670" s="4"/>
      <c r="V670" s="4"/>
      <c r="W670" s="4"/>
      <c r="X670" s="4"/>
      <c r="Y670" s="4"/>
      <c r="Z670" s="4"/>
    </row>
    <row r="671" ht="12.75" customHeight="1">
      <c r="A671" s="14"/>
      <c r="B671" s="21"/>
      <c r="C671" s="21"/>
      <c r="D671" s="14"/>
      <c r="E671" s="32"/>
      <c r="F671" s="32"/>
      <c r="G671" s="2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7"/>
      <c r="S671" s="7"/>
      <c r="T671" s="4"/>
      <c r="U671" s="4"/>
      <c r="V671" s="4"/>
      <c r="W671" s="4"/>
      <c r="X671" s="4"/>
      <c r="Y671" s="4"/>
      <c r="Z671" s="4"/>
    </row>
    <row r="672" ht="12.75" customHeight="1">
      <c r="A672" s="14"/>
      <c r="B672" s="21"/>
      <c r="C672" s="21"/>
      <c r="D672" s="14"/>
      <c r="E672" s="32"/>
      <c r="F672" s="32"/>
      <c r="G672" s="2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7"/>
      <c r="S672" s="7"/>
      <c r="T672" s="4"/>
      <c r="U672" s="4"/>
      <c r="V672" s="4"/>
      <c r="W672" s="4"/>
      <c r="X672" s="4"/>
      <c r="Y672" s="4"/>
      <c r="Z672" s="4"/>
    </row>
    <row r="673" ht="12.75" customHeight="1">
      <c r="A673" s="14"/>
      <c r="B673" s="21"/>
      <c r="C673" s="21"/>
      <c r="D673" s="14"/>
      <c r="E673" s="32"/>
      <c r="F673" s="32"/>
      <c r="G673" s="2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7"/>
      <c r="S673" s="7"/>
      <c r="T673" s="4"/>
      <c r="U673" s="4"/>
      <c r="V673" s="4"/>
      <c r="W673" s="4"/>
      <c r="X673" s="4"/>
      <c r="Y673" s="4"/>
      <c r="Z673" s="4"/>
    </row>
    <row r="674" ht="12.75" customHeight="1">
      <c r="A674" s="14"/>
      <c r="B674" s="21"/>
      <c r="C674" s="21"/>
      <c r="D674" s="14"/>
      <c r="E674" s="32"/>
      <c r="F674" s="32"/>
      <c r="G674" s="2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7"/>
      <c r="S674" s="7"/>
      <c r="T674" s="4"/>
      <c r="U674" s="4"/>
      <c r="V674" s="4"/>
      <c r="W674" s="4"/>
      <c r="X674" s="4"/>
      <c r="Y674" s="4"/>
      <c r="Z674" s="4"/>
    </row>
    <row r="675" ht="12.75" customHeight="1">
      <c r="A675" s="14"/>
      <c r="B675" s="21"/>
      <c r="C675" s="21"/>
      <c r="D675" s="14"/>
      <c r="E675" s="32"/>
      <c r="F675" s="32"/>
      <c r="G675" s="2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7"/>
      <c r="S675" s="7"/>
      <c r="T675" s="4"/>
      <c r="U675" s="4"/>
      <c r="V675" s="4"/>
      <c r="W675" s="4"/>
      <c r="X675" s="4"/>
      <c r="Y675" s="4"/>
      <c r="Z675" s="4"/>
    </row>
    <row r="676" ht="12.75" customHeight="1">
      <c r="A676" s="14"/>
      <c r="B676" s="21"/>
      <c r="C676" s="21"/>
      <c r="D676" s="14"/>
      <c r="E676" s="32"/>
      <c r="F676" s="32"/>
      <c r="G676" s="2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7"/>
      <c r="S676" s="7"/>
      <c r="T676" s="4"/>
      <c r="U676" s="4"/>
      <c r="V676" s="4"/>
      <c r="W676" s="4"/>
      <c r="X676" s="4"/>
      <c r="Y676" s="4"/>
      <c r="Z676" s="4"/>
    </row>
    <row r="677" ht="12.75" customHeight="1">
      <c r="A677" s="14"/>
      <c r="B677" s="21"/>
      <c r="C677" s="21"/>
      <c r="D677" s="14"/>
      <c r="E677" s="32"/>
      <c r="F677" s="32"/>
      <c r="G677" s="2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7"/>
      <c r="S677" s="7"/>
      <c r="T677" s="4"/>
      <c r="U677" s="4"/>
      <c r="V677" s="4"/>
      <c r="W677" s="4"/>
      <c r="X677" s="4"/>
      <c r="Y677" s="4"/>
      <c r="Z677" s="4"/>
    </row>
    <row r="678" ht="12.75" customHeight="1">
      <c r="A678" s="14"/>
      <c r="B678" s="21"/>
      <c r="C678" s="21"/>
      <c r="D678" s="14"/>
      <c r="E678" s="32"/>
      <c r="F678" s="32"/>
      <c r="G678" s="2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7"/>
      <c r="S678" s="7"/>
      <c r="T678" s="4"/>
      <c r="U678" s="4"/>
      <c r="V678" s="4"/>
      <c r="W678" s="4"/>
      <c r="X678" s="4"/>
      <c r="Y678" s="4"/>
      <c r="Z678" s="4"/>
    </row>
    <row r="679" ht="12.75" customHeight="1">
      <c r="A679" s="14"/>
      <c r="B679" s="21"/>
      <c r="C679" s="21"/>
      <c r="D679" s="14"/>
      <c r="E679" s="32"/>
      <c r="F679" s="32"/>
      <c r="G679" s="2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7"/>
      <c r="S679" s="7"/>
      <c r="T679" s="4"/>
      <c r="U679" s="4"/>
      <c r="V679" s="4"/>
      <c r="W679" s="4"/>
      <c r="X679" s="4"/>
      <c r="Y679" s="4"/>
      <c r="Z679" s="4"/>
    </row>
    <row r="680" ht="12.75" customHeight="1">
      <c r="A680" s="14"/>
      <c r="B680" s="21"/>
      <c r="C680" s="21"/>
      <c r="D680" s="14"/>
      <c r="E680" s="32"/>
      <c r="F680" s="32"/>
      <c r="G680" s="2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7"/>
      <c r="S680" s="7"/>
      <c r="T680" s="4"/>
      <c r="U680" s="4"/>
      <c r="V680" s="4"/>
      <c r="W680" s="4"/>
      <c r="X680" s="4"/>
      <c r="Y680" s="4"/>
      <c r="Z680" s="4"/>
    </row>
    <row r="681" ht="12.75" customHeight="1">
      <c r="A681" s="14"/>
      <c r="B681" s="21"/>
      <c r="C681" s="21"/>
      <c r="D681" s="14"/>
      <c r="E681" s="32"/>
      <c r="F681" s="32"/>
      <c r="G681" s="2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7"/>
      <c r="S681" s="7"/>
      <c r="T681" s="4"/>
      <c r="U681" s="4"/>
      <c r="V681" s="4"/>
      <c r="W681" s="4"/>
      <c r="X681" s="4"/>
      <c r="Y681" s="4"/>
      <c r="Z681" s="4"/>
    </row>
    <row r="682" ht="12.75" customHeight="1">
      <c r="A682" s="14"/>
      <c r="B682" s="21"/>
      <c r="C682" s="21"/>
      <c r="D682" s="14"/>
      <c r="E682" s="32"/>
      <c r="F682" s="32"/>
      <c r="G682" s="2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7"/>
      <c r="S682" s="7"/>
      <c r="T682" s="4"/>
      <c r="U682" s="4"/>
      <c r="V682" s="4"/>
      <c r="W682" s="4"/>
      <c r="X682" s="4"/>
      <c r="Y682" s="4"/>
      <c r="Z682" s="4"/>
    </row>
    <row r="683" ht="12.75" customHeight="1">
      <c r="A683" s="14"/>
      <c r="B683" s="21"/>
      <c r="C683" s="21"/>
      <c r="D683" s="14"/>
      <c r="E683" s="32"/>
      <c r="F683" s="32"/>
      <c r="G683" s="2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7"/>
      <c r="S683" s="7"/>
      <c r="T683" s="4"/>
      <c r="U683" s="4"/>
      <c r="V683" s="4"/>
      <c r="W683" s="4"/>
      <c r="X683" s="4"/>
      <c r="Y683" s="4"/>
      <c r="Z683" s="4"/>
    </row>
    <row r="684" ht="12.75" customHeight="1">
      <c r="A684" s="14"/>
      <c r="B684" s="21"/>
      <c r="C684" s="21"/>
      <c r="D684" s="14"/>
      <c r="E684" s="32"/>
      <c r="F684" s="32"/>
      <c r="G684" s="2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7"/>
      <c r="S684" s="7"/>
      <c r="T684" s="4"/>
      <c r="U684" s="4"/>
      <c r="V684" s="4"/>
      <c r="W684" s="4"/>
      <c r="X684" s="4"/>
      <c r="Y684" s="4"/>
      <c r="Z684" s="4"/>
    </row>
    <row r="685" ht="12.75" customHeight="1">
      <c r="A685" s="14"/>
      <c r="B685" s="21"/>
      <c r="C685" s="21"/>
      <c r="D685" s="14"/>
      <c r="E685" s="32"/>
      <c r="F685" s="32"/>
      <c r="G685" s="2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7"/>
      <c r="S685" s="7"/>
      <c r="T685" s="4"/>
      <c r="U685" s="4"/>
      <c r="V685" s="4"/>
      <c r="W685" s="4"/>
      <c r="X685" s="4"/>
      <c r="Y685" s="4"/>
      <c r="Z685" s="4"/>
    </row>
    <row r="686" ht="12.75" customHeight="1">
      <c r="A686" s="14"/>
      <c r="B686" s="21"/>
      <c r="C686" s="21"/>
      <c r="D686" s="14"/>
      <c r="E686" s="32"/>
      <c r="F686" s="32"/>
      <c r="G686" s="2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7"/>
      <c r="S686" s="7"/>
      <c r="T686" s="4"/>
      <c r="U686" s="4"/>
      <c r="V686" s="4"/>
      <c r="W686" s="4"/>
      <c r="X686" s="4"/>
      <c r="Y686" s="4"/>
      <c r="Z686" s="4"/>
    </row>
    <row r="687" ht="12.75" customHeight="1">
      <c r="A687" s="14"/>
      <c r="B687" s="21"/>
      <c r="C687" s="21"/>
      <c r="D687" s="14"/>
      <c r="E687" s="32"/>
      <c r="F687" s="32"/>
      <c r="G687" s="2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7"/>
      <c r="S687" s="7"/>
      <c r="T687" s="4"/>
      <c r="U687" s="4"/>
      <c r="V687" s="4"/>
      <c r="W687" s="4"/>
      <c r="X687" s="4"/>
      <c r="Y687" s="4"/>
      <c r="Z687" s="4"/>
    </row>
    <row r="688" ht="12.75" customHeight="1">
      <c r="A688" s="14"/>
      <c r="B688" s="21"/>
      <c r="C688" s="21"/>
      <c r="D688" s="14"/>
      <c r="E688" s="32"/>
      <c r="F688" s="32"/>
      <c r="G688" s="2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7"/>
      <c r="S688" s="7"/>
      <c r="T688" s="4"/>
      <c r="U688" s="4"/>
      <c r="V688" s="4"/>
      <c r="W688" s="4"/>
      <c r="X688" s="4"/>
      <c r="Y688" s="4"/>
      <c r="Z688" s="4"/>
    </row>
    <row r="689" ht="12.75" customHeight="1">
      <c r="A689" s="14"/>
      <c r="B689" s="21"/>
      <c r="C689" s="21"/>
      <c r="D689" s="14"/>
      <c r="E689" s="32"/>
      <c r="F689" s="32"/>
      <c r="G689" s="2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7"/>
      <c r="S689" s="7"/>
      <c r="T689" s="4"/>
      <c r="U689" s="4"/>
      <c r="V689" s="4"/>
      <c r="W689" s="4"/>
      <c r="X689" s="4"/>
      <c r="Y689" s="4"/>
      <c r="Z689" s="4"/>
    </row>
    <row r="690" ht="12.75" customHeight="1">
      <c r="A690" s="14"/>
      <c r="B690" s="21"/>
      <c r="C690" s="21"/>
      <c r="D690" s="14"/>
      <c r="E690" s="32"/>
      <c r="F690" s="32"/>
      <c r="G690" s="2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7"/>
      <c r="S690" s="7"/>
      <c r="T690" s="4"/>
      <c r="U690" s="4"/>
      <c r="V690" s="4"/>
      <c r="W690" s="4"/>
      <c r="X690" s="4"/>
      <c r="Y690" s="4"/>
      <c r="Z690" s="4"/>
    </row>
    <row r="691" ht="12.75" customHeight="1">
      <c r="A691" s="14"/>
      <c r="B691" s="21"/>
      <c r="C691" s="21"/>
      <c r="D691" s="14"/>
      <c r="E691" s="32"/>
      <c r="F691" s="32"/>
      <c r="G691" s="2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7"/>
      <c r="S691" s="7"/>
      <c r="T691" s="4"/>
      <c r="U691" s="4"/>
      <c r="V691" s="4"/>
      <c r="W691" s="4"/>
      <c r="X691" s="4"/>
      <c r="Y691" s="4"/>
      <c r="Z691" s="4"/>
    </row>
    <row r="692" ht="12.75" customHeight="1">
      <c r="A692" s="14"/>
      <c r="B692" s="21"/>
      <c r="C692" s="21"/>
      <c r="D692" s="14"/>
      <c r="E692" s="32"/>
      <c r="F692" s="32"/>
      <c r="G692" s="2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7"/>
      <c r="S692" s="7"/>
      <c r="T692" s="4"/>
      <c r="U692" s="4"/>
      <c r="V692" s="4"/>
      <c r="W692" s="4"/>
      <c r="X692" s="4"/>
      <c r="Y692" s="4"/>
      <c r="Z692" s="4"/>
    </row>
    <row r="693" ht="12.75" customHeight="1">
      <c r="A693" s="14"/>
      <c r="B693" s="21"/>
      <c r="C693" s="21"/>
      <c r="D693" s="14"/>
      <c r="E693" s="32"/>
      <c r="F693" s="32"/>
      <c r="G693" s="2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7"/>
      <c r="S693" s="7"/>
      <c r="T693" s="4"/>
      <c r="U693" s="4"/>
      <c r="V693" s="4"/>
      <c r="W693" s="4"/>
      <c r="X693" s="4"/>
      <c r="Y693" s="4"/>
      <c r="Z693" s="4"/>
    </row>
    <row r="694" ht="12.75" customHeight="1">
      <c r="A694" s="14"/>
      <c r="B694" s="21"/>
      <c r="C694" s="21"/>
      <c r="D694" s="14"/>
      <c r="E694" s="32"/>
      <c r="F694" s="32"/>
      <c r="G694" s="2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7"/>
      <c r="S694" s="7"/>
      <c r="T694" s="4"/>
      <c r="U694" s="4"/>
      <c r="V694" s="4"/>
      <c r="W694" s="4"/>
      <c r="X694" s="4"/>
      <c r="Y694" s="4"/>
      <c r="Z694" s="4"/>
    </row>
    <row r="695" ht="12.75" customHeight="1">
      <c r="A695" s="14"/>
      <c r="B695" s="21"/>
      <c r="C695" s="21"/>
      <c r="D695" s="14"/>
      <c r="E695" s="32"/>
      <c r="F695" s="32"/>
      <c r="G695" s="2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7"/>
      <c r="S695" s="7"/>
      <c r="T695" s="4"/>
      <c r="U695" s="4"/>
      <c r="V695" s="4"/>
      <c r="W695" s="4"/>
      <c r="X695" s="4"/>
      <c r="Y695" s="4"/>
      <c r="Z695" s="4"/>
    </row>
    <row r="696" ht="12.75" customHeight="1">
      <c r="A696" s="14"/>
      <c r="B696" s="21"/>
      <c r="C696" s="21"/>
      <c r="D696" s="14"/>
      <c r="E696" s="32"/>
      <c r="F696" s="32"/>
      <c r="G696" s="2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7"/>
      <c r="S696" s="7"/>
      <c r="T696" s="4"/>
      <c r="U696" s="4"/>
      <c r="V696" s="4"/>
      <c r="W696" s="4"/>
      <c r="X696" s="4"/>
      <c r="Y696" s="4"/>
      <c r="Z696" s="4"/>
    </row>
    <row r="697" ht="12.75" customHeight="1">
      <c r="A697" s="14"/>
      <c r="B697" s="21"/>
      <c r="C697" s="21"/>
      <c r="D697" s="14"/>
      <c r="E697" s="32"/>
      <c r="F697" s="32"/>
      <c r="G697" s="2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7"/>
      <c r="S697" s="7"/>
      <c r="T697" s="4"/>
      <c r="U697" s="4"/>
      <c r="V697" s="4"/>
      <c r="W697" s="4"/>
      <c r="X697" s="4"/>
      <c r="Y697" s="4"/>
      <c r="Z697" s="4"/>
    </row>
    <row r="698" ht="12.75" customHeight="1">
      <c r="A698" s="14"/>
      <c r="B698" s="21"/>
      <c r="C698" s="21"/>
      <c r="D698" s="14"/>
      <c r="E698" s="32"/>
      <c r="F698" s="32"/>
      <c r="G698" s="2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7"/>
      <c r="S698" s="7"/>
      <c r="T698" s="4"/>
      <c r="U698" s="4"/>
      <c r="V698" s="4"/>
      <c r="W698" s="4"/>
      <c r="X698" s="4"/>
      <c r="Y698" s="4"/>
      <c r="Z698" s="4"/>
    </row>
    <row r="699" ht="12.75" customHeight="1">
      <c r="A699" s="14"/>
      <c r="B699" s="21"/>
      <c r="C699" s="21"/>
      <c r="D699" s="14"/>
      <c r="E699" s="32"/>
      <c r="F699" s="32"/>
      <c r="G699" s="2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7"/>
      <c r="S699" s="7"/>
      <c r="T699" s="4"/>
      <c r="U699" s="4"/>
      <c r="V699" s="4"/>
      <c r="W699" s="4"/>
      <c r="X699" s="4"/>
      <c r="Y699" s="4"/>
      <c r="Z699" s="4"/>
    </row>
    <row r="700" ht="12.75" customHeight="1">
      <c r="A700" s="14"/>
      <c r="B700" s="21"/>
      <c r="C700" s="21"/>
      <c r="D700" s="14"/>
      <c r="E700" s="32"/>
      <c r="F700" s="32"/>
      <c r="G700" s="2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7"/>
      <c r="S700" s="7"/>
      <c r="T700" s="4"/>
      <c r="U700" s="4"/>
      <c r="V700" s="4"/>
      <c r="W700" s="4"/>
      <c r="X700" s="4"/>
      <c r="Y700" s="4"/>
      <c r="Z700" s="4"/>
    </row>
    <row r="701" ht="12.75" customHeight="1">
      <c r="A701" s="14"/>
      <c r="B701" s="21"/>
      <c r="C701" s="21"/>
      <c r="D701" s="14"/>
      <c r="E701" s="32"/>
      <c r="F701" s="32"/>
      <c r="G701" s="2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7"/>
      <c r="S701" s="7"/>
      <c r="T701" s="4"/>
      <c r="U701" s="4"/>
      <c r="V701" s="4"/>
      <c r="W701" s="4"/>
      <c r="X701" s="4"/>
      <c r="Y701" s="4"/>
      <c r="Z701" s="4"/>
    </row>
    <row r="702" ht="12.75" customHeight="1">
      <c r="A702" s="14"/>
      <c r="B702" s="21"/>
      <c r="C702" s="21"/>
      <c r="D702" s="14"/>
      <c r="E702" s="32"/>
      <c r="F702" s="32"/>
      <c r="G702" s="2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7"/>
      <c r="S702" s="7"/>
      <c r="T702" s="4"/>
      <c r="U702" s="4"/>
      <c r="V702" s="4"/>
      <c r="W702" s="4"/>
      <c r="X702" s="4"/>
      <c r="Y702" s="4"/>
      <c r="Z702" s="4"/>
    </row>
    <row r="703" ht="12.75" customHeight="1">
      <c r="A703" s="14"/>
      <c r="B703" s="21"/>
      <c r="C703" s="21"/>
      <c r="D703" s="14"/>
      <c r="E703" s="32"/>
      <c r="F703" s="32"/>
      <c r="G703" s="2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7"/>
      <c r="S703" s="7"/>
      <c r="T703" s="4"/>
      <c r="U703" s="4"/>
      <c r="V703" s="4"/>
      <c r="W703" s="4"/>
      <c r="X703" s="4"/>
      <c r="Y703" s="4"/>
      <c r="Z703" s="4"/>
    </row>
    <row r="704" ht="12.75" customHeight="1">
      <c r="A704" s="14"/>
      <c r="B704" s="21"/>
      <c r="C704" s="21"/>
      <c r="D704" s="14"/>
      <c r="E704" s="32"/>
      <c r="F704" s="32"/>
      <c r="G704" s="2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7"/>
      <c r="S704" s="7"/>
      <c r="T704" s="4"/>
      <c r="U704" s="4"/>
      <c r="V704" s="4"/>
      <c r="W704" s="4"/>
      <c r="X704" s="4"/>
      <c r="Y704" s="4"/>
      <c r="Z704" s="4"/>
    </row>
    <row r="705" ht="12.75" customHeight="1">
      <c r="A705" s="14"/>
      <c r="B705" s="21"/>
      <c r="C705" s="21"/>
      <c r="D705" s="14"/>
      <c r="E705" s="32"/>
      <c r="F705" s="32"/>
      <c r="G705" s="2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7"/>
      <c r="S705" s="7"/>
      <c r="T705" s="4"/>
      <c r="U705" s="4"/>
      <c r="V705" s="4"/>
      <c r="W705" s="4"/>
      <c r="X705" s="4"/>
      <c r="Y705" s="4"/>
      <c r="Z705" s="4"/>
    </row>
    <row r="706" ht="12.75" customHeight="1">
      <c r="A706" s="14"/>
      <c r="B706" s="21"/>
      <c r="C706" s="21"/>
      <c r="D706" s="14"/>
      <c r="E706" s="32"/>
      <c r="F706" s="32"/>
      <c r="G706" s="2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7"/>
      <c r="S706" s="7"/>
      <c r="T706" s="4"/>
      <c r="U706" s="4"/>
      <c r="V706" s="4"/>
      <c r="W706" s="4"/>
      <c r="X706" s="4"/>
      <c r="Y706" s="4"/>
      <c r="Z706" s="4"/>
    </row>
    <row r="707" ht="12.75" customHeight="1">
      <c r="A707" s="14"/>
      <c r="B707" s="21"/>
      <c r="C707" s="21"/>
      <c r="D707" s="14"/>
      <c r="E707" s="32"/>
      <c r="F707" s="32"/>
      <c r="G707" s="2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7"/>
      <c r="S707" s="7"/>
      <c r="T707" s="4"/>
      <c r="U707" s="4"/>
      <c r="V707" s="4"/>
      <c r="W707" s="4"/>
      <c r="X707" s="4"/>
      <c r="Y707" s="4"/>
      <c r="Z707" s="4"/>
    </row>
    <row r="708" ht="12.75" customHeight="1">
      <c r="A708" s="14"/>
      <c r="B708" s="21"/>
      <c r="C708" s="21"/>
      <c r="D708" s="14"/>
      <c r="E708" s="32"/>
      <c r="F708" s="32"/>
      <c r="G708" s="2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7"/>
      <c r="S708" s="7"/>
      <c r="T708" s="4"/>
      <c r="U708" s="4"/>
      <c r="V708" s="4"/>
      <c r="W708" s="4"/>
      <c r="X708" s="4"/>
      <c r="Y708" s="4"/>
      <c r="Z708" s="4"/>
    </row>
    <row r="709" ht="12.75" customHeight="1">
      <c r="A709" s="14"/>
      <c r="B709" s="21"/>
      <c r="C709" s="21"/>
      <c r="D709" s="14"/>
      <c r="E709" s="32"/>
      <c r="F709" s="32"/>
      <c r="G709" s="2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7"/>
      <c r="S709" s="7"/>
      <c r="T709" s="4"/>
      <c r="U709" s="4"/>
      <c r="V709" s="4"/>
      <c r="W709" s="4"/>
      <c r="X709" s="4"/>
      <c r="Y709" s="4"/>
      <c r="Z709" s="4"/>
    </row>
    <row r="710" ht="12.75" customHeight="1">
      <c r="A710" s="14"/>
      <c r="B710" s="21"/>
      <c r="C710" s="21"/>
      <c r="D710" s="14"/>
      <c r="E710" s="32"/>
      <c r="F710" s="32"/>
      <c r="G710" s="2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7"/>
      <c r="S710" s="7"/>
      <c r="T710" s="4"/>
      <c r="U710" s="4"/>
      <c r="V710" s="4"/>
      <c r="W710" s="4"/>
      <c r="X710" s="4"/>
      <c r="Y710" s="4"/>
      <c r="Z710" s="4"/>
    </row>
    <row r="711" ht="12.75" customHeight="1">
      <c r="A711" s="14"/>
      <c r="B711" s="21"/>
      <c r="C711" s="21"/>
      <c r="D711" s="14"/>
      <c r="E711" s="32"/>
      <c r="F711" s="32"/>
      <c r="G711" s="2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7"/>
      <c r="S711" s="7"/>
      <c r="T711" s="4"/>
      <c r="U711" s="4"/>
      <c r="V711" s="4"/>
      <c r="W711" s="4"/>
      <c r="X711" s="4"/>
      <c r="Y711" s="4"/>
      <c r="Z711" s="4"/>
    </row>
    <row r="712" ht="12.75" customHeight="1">
      <c r="A712" s="14"/>
      <c r="B712" s="21"/>
      <c r="C712" s="21"/>
      <c r="D712" s="14"/>
      <c r="E712" s="32"/>
      <c r="F712" s="32"/>
      <c r="G712" s="2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7"/>
      <c r="S712" s="7"/>
      <c r="T712" s="4"/>
      <c r="U712" s="4"/>
      <c r="V712" s="4"/>
      <c r="W712" s="4"/>
      <c r="X712" s="4"/>
      <c r="Y712" s="4"/>
      <c r="Z712" s="4"/>
    </row>
    <row r="713" ht="12.75" customHeight="1">
      <c r="A713" s="14"/>
      <c r="B713" s="21"/>
      <c r="C713" s="21"/>
      <c r="D713" s="14"/>
      <c r="E713" s="32"/>
      <c r="F713" s="32"/>
      <c r="G713" s="2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7"/>
      <c r="S713" s="7"/>
      <c r="T713" s="4"/>
      <c r="U713" s="4"/>
      <c r="V713" s="4"/>
      <c r="W713" s="4"/>
      <c r="X713" s="4"/>
      <c r="Y713" s="4"/>
      <c r="Z713" s="4"/>
    </row>
    <row r="714" ht="12.75" customHeight="1">
      <c r="A714" s="14"/>
      <c r="B714" s="21"/>
      <c r="C714" s="21"/>
      <c r="D714" s="14"/>
      <c r="E714" s="32"/>
      <c r="F714" s="32"/>
      <c r="G714" s="2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7"/>
      <c r="S714" s="7"/>
      <c r="T714" s="4"/>
      <c r="U714" s="4"/>
      <c r="V714" s="4"/>
      <c r="W714" s="4"/>
      <c r="X714" s="4"/>
      <c r="Y714" s="4"/>
      <c r="Z714" s="4"/>
    </row>
    <row r="715" ht="12.75" customHeight="1">
      <c r="A715" s="14"/>
      <c r="B715" s="21"/>
      <c r="C715" s="21"/>
      <c r="D715" s="14"/>
      <c r="E715" s="32"/>
      <c r="F715" s="32"/>
      <c r="G715" s="2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7"/>
      <c r="S715" s="7"/>
      <c r="T715" s="4"/>
      <c r="U715" s="4"/>
      <c r="V715" s="4"/>
      <c r="W715" s="4"/>
      <c r="X715" s="4"/>
      <c r="Y715" s="4"/>
      <c r="Z715" s="4"/>
    </row>
    <row r="716" ht="12.75" customHeight="1">
      <c r="A716" s="14"/>
      <c r="B716" s="21"/>
      <c r="C716" s="21"/>
      <c r="D716" s="14"/>
      <c r="E716" s="32"/>
      <c r="F716" s="32"/>
      <c r="G716" s="2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7"/>
      <c r="S716" s="7"/>
      <c r="T716" s="4"/>
      <c r="U716" s="4"/>
      <c r="V716" s="4"/>
      <c r="W716" s="4"/>
      <c r="X716" s="4"/>
      <c r="Y716" s="4"/>
      <c r="Z716" s="4"/>
    </row>
    <row r="717" ht="12.75" customHeight="1">
      <c r="A717" s="14"/>
      <c r="B717" s="21"/>
      <c r="C717" s="21"/>
      <c r="D717" s="14"/>
      <c r="E717" s="32"/>
      <c r="F717" s="32"/>
      <c r="G717" s="2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7"/>
      <c r="S717" s="7"/>
      <c r="T717" s="4"/>
      <c r="U717" s="4"/>
      <c r="V717" s="4"/>
      <c r="W717" s="4"/>
      <c r="X717" s="4"/>
      <c r="Y717" s="4"/>
      <c r="Z717" s="4"/>
    </row>
    <row r="718" ht="12.75" customHeight="1">
      <c r="A718" s="14"/>
      <c r="B718" s="21"/>
      <c r="C718" s="21"/>
      <c r="D718" s="14"/>
      <c r="E718" s="32"/>
      <c r="F718" s="32"/>
      <c r="G718" s="2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7"/>
      <c r="S718" s="7"/>
      <c r="T718" s="4"/>
      <c r="U718" s="4"/>
      <c r="V718" s="4"/>
      <c r="W718" s="4"/>
      <c r="X718" s="4"/>
      <c r="Y718" s="4"/>
      <c r="Z718" s="4"/>
    </row>
    <row r="719" ht="12.75" customHeight="1">
      <c r="A719" s="14"/>
      <c r="B719" s="21"/>
      <c r="C719" s="21"/>
      <c r="D719" s="14"/>
      <c r="E719" s="32"/>
      <c r="F719" s="32"/>
      <c r="G719" s="2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7"/>
      <c r="S719" s="7"/>
      <c r="T719" s="4"/>
      <c r="U719" s="4"/>
      <c r="V719" s="4"/>
      <c r="W719" s="4"/>
      <c r="X719" s="4"/>
      <c r="Y719" s="4"/>
      <c r="Z719" s="4"/>
    </row>
    <row r="720" ht="12.75" customHeight="1">
      <c r="A720" s="14"/>
      <c r="B720" s="21"/>
      <c r="C720" s="21"/>
      <c r="D720" s="14"/>
      <c r="E720" s="32"/>
      <c r="F720" s="32"/>
      <c r="G720" s="2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7"/>
      <c r="S720" s="7"/>
      <c r="T720" s="4"/>
      <c r="U720" s="4"/>
      <c r="V720" s="4"/>
      <c r="W720" s="4"/>
      <c r="X720" s="4"/>
      <c r="Y720" s="4"/>
      <c r="Z720" s="4"/>
    </row>
    <row r="721" ht="12.75" customHeight="1">
      <c r="A721" s="14"/>
      <c r="B721" s="21"/>
      <c r="C721" s="21"/>
      <c r="D721" s="14"/>
      <c r="E721" s="32"/>
      <c r="F721" s="32"/>
      <c r="G721" s="2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7"/>
      <c r="S721" s="7"/>
      <c r="T721" s="4"/>
      <c r="U721" s="4"/>
      <c r="V721" s="4"/>
      <c r="W721" s="4"/>
      <c r="X721" s="4"/>
      <c r="Y721" s="4"/>
      <c r="Z721" s="4"/>
    </row>
    <row r="722" ht="12.75" customHeight="1">
      <c r="A722" s="14"/>
      <c r="B722" s="21"/>
      <c r="C722" s="21"/>
      <c r="D722" s="14"/>
      <c r="E722" s="32"/>
      <c r="F722" s="32"/>
      <c r="G722" s="2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7"/>
      <c r="S722" s="7"/>
      <c r="T722" s="4"/>
      <c r="U722" s="4"/>
      <c r="V722" s="4"/>
      <c r="W722" s="4"/>
      <c r="X722" s="4"/>
      <c r="Y722" s="4"/>
      <c r="Z722" s="4"/>
    </row>
    <row r="723" ht="12.75" customHeight="1">
      <c r="A723" s="14"/>
      <c r="B723" s="21"/>
      <c r="C723" s="21"/>
      <c r="D723" s="14"/>
      <c r="E723" s="32"/>
      <c r="F723" s="32"/>
      <c r="G723" s="2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7"/>
      <c r="S723" s="7"/>
      <c r="T723" s="4"/>
      <c r="U723" s="4"/>
      <c r="V723" s="4"/>
      <c r="W723" s="4"/>
      <c r="X723" s="4"/>
      <c r="Y723" s="4"/>
      <c r="Z723" s="4"/>
    </row>
    <row r="724" ht="12.75" customHeight="1">
      <c r="A724" s="14"/>
      <c r="B724" s="21"/>
      <c r="C724" s="21"/>
      <c r="D724" s="14"/>
      <c r="E724" s="32"/>
      <c r="F724" s="32"/>
      <c r="G724" s="2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7"/>
      <c r="S724" s="7"/>
      <c r="T724" s="4"/>
      <c r="U724" s="4"/>
      <c r="V724" s="4"/>
      <c r="W724" s="4"/>
      <c r="X724" s="4"/>
      <c r="Y724" s="4"/>
      <c r="Z724" s="4"/>
    </row>
    <row r="725" ht="12.75" customHeight="1">
      <c r="A725" s="14"/>
      <c r="B725" s="21"/>
      <c r="C725" s="21"/>
      <c r="D725" s="14"/>
      <c r="E725" s="32"/>
      <c r="F725" s="32"/>
      <c r="G725" s="2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7"/>
      <c r="S725" s="7"/>
      <c r="T725" s="4"/>
      <c r="U725" s="4"/>
      <c r="V725" s="4"/>
      <c r="W725" s="4"/>
      <c r="X725" s="4"/>
      <c r="Y725" s="4"/>
      <c r="Z725" s="4"/>
    </row>
    <row r="726" ht="12.75" customHeight="1">
      <c r="A726" s="14"/>
      <c r="B726" s="21"/>
      <c r="C726" s="21"/>
      <c r="D726" s="14"/>
      <c r="E726" s="32"/>
      <c r="F726" s="32"/>
      <c r="G726" s="2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7"/>
      <c r="S726" s="7"/>
      <c r="T726" s="4"/>
      <c r="U726" s="4"/>
      <c r="V726" s="4"/>
      <c r="W726" s="4"/>
      <c r="X726" s="4"/>
      <c r="Y726" s="4"/>
      <c r="Z726" s="4"/>
    </row>
    <row r="727" ht="12.75" customHeight="1">
      <c r="A727" s="14"/>
      <c r="B727" s="21"/>
      <c r="C727" s="21"/>
      <c r="D727" s="14"/>
      <c r="E727" s="32"/>
      <c r="F727" s="32"/>
      <c r="G727" s="2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7"/>
      <c r="S727" s="7"/>
      <c r="T727" s="4"/>
      <c r="U727" s="4"/>
      <c r="V727" s="4"/>
      <c r="W727" s="4"/>
      <c r="X727" s="4"/>
      <c r="Y727" s="4"/>
      <c r="Z727" s="4"/>
    </row>
    <row r="728" ht="12.75" customHeight="1">
      <c r="A728" s="14"/>
      <c r="B728" s="21"/>
      <c r="C728" s="21"/>
      <c r="D728" s="14"/>
      <c r="E728" s="32"/>
      <c r="F728" s="32"/>
      <c r="G728" s="2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7"/>
      <c r="S728" s="7"/>
      <c r="T728" s="4"/>
      <c r="U728" s="4"/>
      <c r="V728" s="4"/>
      <c r="W728" s="4"/>
      <c r="X728" s="4"/>
      <c r="Y728" s="4"/>
      <c r="Z728" s="4"/>
    </row>
    <row r="729" ht="12.75" customHeight="1">
      <c r="A729" s="14"/>
      <c r="B729" s="21"/>
      <c r="C729" s="21"/>
      <c r="D729" s="14"/>
      <c r="E729" s="32"/>
      <c r="F729" s="32"/>
      <c r="G729" s="2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7"/>
      <c r="S729" s="7"/>
      <c r="T729" s="4"/>
      <c r="U729" s="4"/>
      <c r="V729" s="4"/>
      <c r="W729" s="4"/>
      <c r="X729" s="4"/>
      <c r="Y729" s="4"/>
      <c r="Z729" s="4"/>
    </row>
    <row r="730" ht="12.75" customHeight="1">
      <c r="A730" s="14"/>
      <c r="B730" s="21"/>
      <c r="C730" s="21"/>
      <c r="D730" s="14"/>
      <c r="E730" s="32"/>
      <c r="F730" s="32"/>
      <c r="G730" s="2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7"/>
      <c r="S730" s="7"/>
      <c r="T730" s="4"/>
      <c r="U730" s="4"/>
      <c r="V730" s="4"/>
      <c r="W730" s="4"/>
      <c r="X730" s="4"/>
      <c r="Y730" s="4"/>
      <c r="Z730" s="4"/>
    </row>
    <row r="731" ht="12.75" customHeight="1">
      <c r="A731" s="14"/>
      <c r="B731" s="21"/>
      <c r="C731" s="21"/>
      <c r="D731" s="14"/>
      <c r="E731" s="32"/>
      <c r="F731" s="32"/>
      <c r="G731" s="2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7"/>
      <c r="S731" s="7"/>
      <c r="T731" s="4"/>
      <c r="U731" s="4"/>
      <c r="V731" s="4"/>
      <c r="W731" s="4"/>
      <c r="X731" s="4"/>
      <c r="Y731" s="4"/>
      <c r="Z731" s="4"/>
    </row>
    <row r="732" ht="12.75" customHeight="1">
      <c r="A732" s="14"/>
      <c r="B732" s="21"/>
      <c r="C732" s="21"/>
      <c r="D732" s="14"/>
      <c r="E732" s="32"/>
      <c r="F732" s="32"/>
      <c r="G732" s="2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7"/>
      <c r="S732" s="7"/>
      <c r="T732" s="4"/>
      <c r="U732" s="4"/>
      <c r="V732" s="4"/>
      <c r="W732" s="4"/>
      <c r="X732" s="4"/>
      <c r="Y732" s="4"/>
      <c r="Z732" s="4"/>
    </row>
    <row r="733" ht="12.75" customHeight="1">
      <c r="A733" s="14"/>
      <c r="B733" s="21"/>
      <c r="C733" s="21"/>
      <c r="D733" s="14"/>
      <c r="E733" s="32"/>
      <c r="F733" s="32"/>
      <c r="G733" s="2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7"/>
      <c r="S733" s="7"/>
      <c r="T733" s="4"/>
      <c r="U733" s="4"/>
      <c r="V733" s="4"/>
      <c r="W733" s="4"/>
      <c r="X733" s="4"/>
      <c r="Y733" s="4"/>
      <c r="Z733" s="4"/>
    </row>
    <row r="734" ht="12.75" customHeight="1">
      <c r="A734" s="14"/>
      <c r="B734" s="21"/>
      <c r="C734" s="21"/>
      <c r="D734" s="14"/>
      <c r="E734" s="32"/>
      <c r="F734" s="32"/>
      <c r="G734" s="2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7"/>
      <c r="S734" s="7"/>
      <c r="T734" s="4"/>
      <c r="U734" s="4"/>
      <c r="V734" s="4"/>
      <c r="W734" s="4"/>
      <c r="X734" s="4"/>
      <c r="Y734" s="4"/>
      <c r="Z734" s="4"/>
    </row>
    <row r="735" ht="12.75" customHeight="1">
      <c r="A735" s="14"/>
      <c r="B735" s="21"/>
      <c r="C735" s="21"/>
      <c r="D735" s="14"/>
      <c r="E735" s="32"/>
      <c r="F735" s="32"/>
      <c r="G735" s="2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7"/>
      <c r="S735" s="7"/>
      <c r="T735" s="4"/>
      <c r="U735" s="4"/>
      <c r="V735" s="4"/>
      <c r="W735" s="4"/>
      <c r="X735" s="4"/>
      <c r="Y735" s="4"/>
      <c r="Z735" s="4"/>
    </row>
    <row r="736" ht="12.75" customHeight="1">
      <c r="A736" s="14"/>
      <c r="B736" s="21"/>
      <c r="C736" s="21"/>
      <c r="D736" s="14"/>
      <c r="E736" s="32"/>
      <c r="F736" s="32"/>
      <c r="G736" s="2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7"/>
      <c r="S736" s="7"/>
      <c r="T736" s="4"/>
      <c r="U736" s="4"/>
      <c r="V736" s="4"/>
      <c r="W736" s="4"/>
      <c r="X736" s="4"/>
      <c r="Y736" s="4"/>
      <c r="Z736" s="4"/>
    </row>
    <row r="737" ht="12.75" customHeight="1">
      <c r="A737" s="14"/>
      <c r="B737" s="21"/>
      <c r="C737" s="21"/>
      <c r="D737" s="14"/>
      <c r="E737" s="32"/>
      <c r="F737" s="32"/>
      <c r="G737" s="2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7"/>
      <c r="S737" s="7"/>
      <c r="T737" s="4"/>
      <c r="U737" s="4"/>
      <c r="V737" s="4"/>
      <c r="W737" s="4"/>
      <c r="X737" s="4"/>
      <c r="Y737" s="4"/>
      <c r="Z737" s="4"/>
    </row>
    <row r="738" ht="12.75" customHeight="1">
      <c r="A738" s="14"/>
      <c r="B738" s="21"/>
      <c r="C738" s="21"/>
      <c r="D738" s="14"/>
      <c r="E738" s="32"/>
      <c r="F738" s="32"/>
      <c r="G738" s="2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7"/>
      <c r="S738" s="7"/>
      <c r="T738" s="4"/>
      <c r="U738" s="4"/>
      <c r="V738" s="4"/>
      <c r="W738" s="4"/>
      <c r="X738" s="4"/>
      <c r="Y738" s="4"/>
      <c r="Z738" s="4"/>
    </row>
    <row r="739" ht="12.75" customHeight="1">
      <c r="A739" s="14"/>
      <c r="B739" s="21"/>
      <c r="C739" s="21"/>
      <c r="D739" s="14"/>
      <c r="E739" s="32"/>
      <c r="F739" s="32"/>
      <c r="G739" s="2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7"/>
      <c r="S739" s="7"/>
      <c r="T739" s="4"/>
      <c r="U739" s="4"/>
      <c r="V739" s="4"/>
      <c r="W739" s="4"/>
      <c r="X739" s="4"/>
      <c r="Y739" s="4"/>
      <c r="Z739" s="4"/>
    </row>
    <row r="740" ht="12.75" customHeight="1">
      <c r="A740" s="14"/>
      <c r="B740" s="21"/>
      <c r="C740" s="21"/>
      <c r="D740" s="14"/>
      <c r="E740" s="32"/>
      <c r="F740" s="32"/>
      <c r="G740" s="2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7"/>
      <c r="S740" s="7"/>
      <c r="T740" s="4"/>
      <c r="U740" s="4"/>
      <c r="V740" s="4"/>
      <c r="W740" s="4"/>
      <c r="X740" s="4"/>
      <c r="Y740" s="4"/>
      <c r="Z740" s="4"/>
    </row>
    <row r="741" ht="12.75" customHeight="1">
      <c r="A741" s="14"/>
      <c r="B741" s="21"/>
      <c r="C741" s="21"/>
      <c r="D741" s="14"/>
      <c r="E741" s="32"/>
      <c r="F741" s="32"/>
      <c r="G741" s="2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7"/>
      <c r="S741" s="7"/>
      <c r="T741" s="4"/>
      <c r="U741" s="4"/>
      <c r="V741" s="4"/>
      <c r="W741" s="4"/>
      <c r="X741" s="4"/>
      <c r="Y741" s="4"/>
      <c r="Z741" s="4"/>
    </row>
    <row r="742" ht="12.75" customHeight="1">
      <c r="A742" s="14"/>
      <c r="B742" s="21"/>
      <c r="C742" s="21"/>
      <c r="D742" s="14"/>
      <c r="E742" s="32"/>
      <c r="F742" s="32"/>
      <c r="G742" s="2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7"/>
      <c r="S742" s="7"/>
      <c r="T742" s="4"/>
      <c r="U742" s="4"/>
      <c r="V742" s="4"/>
      <c r="W742" s="4"/>
      <c r="X742" s="4"/>
      <c r="Y742" s="4"/>
      <c r="Z742" s="4"/>
    </row>
    <row r="743" ht="12.75" customHeight="1">
      <c r="A743" s="14"/>
      <c r="B743" s="21"/>
      <c r="C743" s="21"/>
      <c r="D743" s="14"/>
      <c r="E743" s="32"/>
      <c r="F743" s="32"/>
      <c r="G743" s="2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7"/>
      <c r="S743" s="7"/>
      <c r="T743" s="4"/>
      <c r="U743" s="4"/>
      <c r="V743" s="4"/>
      <c r="W743" s="4"/>
      <c r="X743" s="4"/>
      <c r="Y743" s="4"/>
      <c r="Z743" s="4"/>
    </row>
    <row r="744" ht="12.75" customHeight="1">
      <c r="A744" s="14"/>
      <c r="B744" s="21"/>
      <c r="C744" s="21"/>
      <c r="D744" s="14"/>
      <c r="E744" s="32"/>
      <c r="F744" s="32"/>
      <c r="G744" s="2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7"/>
      <c r="S744" s="7"/>
      <c r="T744" s="4"/>
      <c r="U744" s="4"/>
      <c r="V744" s="4"/>
      <c r="W744" s="4"/>
      <c r="X744" s="4"/>
      <c r="Y744" s="4"/>
      <c r="Z744" s="4"/>
    </row>
    <row r="745" ht="12.75" customHeight="1">
      <c r="A745" s="14"/>
      <c r="B745" s="21"/>
      <c r="C745" s="21"/>
      <c r="D745" s="14"/>
      <c r="E745" s="32"/>
      <c r="F745" s="32"/>
      <c r="G745" s="2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7"/>
      <c r="S745" s="7"/>
      <c r="T745" s="4"/>
      <c r="U745" s="4"/>
      <c r="V745" s="4"/>
      <c r="W745" s="4"/>
      <c r="X745" s="4"/>
      <c r="Y745" s="4"/>
      <c r="Z745" s="4"/>
    </row>
    <row r="746" ht="12.75" customHeight="1">
      <c r="A746" s="14"/>
      <c r="B746" s="21"/>
      <c r="C746" s="21"/>
      <c r="D746" s="14"/>
      <c r="E746" s="32"/>
      <c r="F746" s="32"/>
      <c r="G746" s="2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7"/>
      <c r="S746" s="7"/>
      <c r="T746" s="4"/>
      <c r="U746" s="4"/>
      <c r="V746" s="4"/>
      <c r="W746" s="4"/>
      <c r="X746" s="4"/>
      <c r="Y746" s="4"/>
      <c r="Z746" s="4"/>
    </row>
    <row r="747" ht="12.75" customHeight="1">
      <c r="A747" s="14"/>
      <c r="B747" s="21"/>
      <c r="C747" s="21"/>
      <c r="D747" s="14"/>
      <c r="E747" s="32"/>
      <c r="F747" s="32"/>
      <c r="G747" s="2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7"/>
      <c r="S747" s="7"/>
      <c r="T747" s="4"/>
      <c r="U747" s="4"/>
      <c r="V747" s="4"/>
      <c r="W747" s="4"/>
      <c r="X747" s="4"/>
      <c r="Y747" s="4"/>
      <c r="Z747" s="4"/>
    </row>
    <row r="748" ht="12.75" customHeight="1">
      <c r="A748" s="14"/>
      <c r="B748" s="21"/>
      <c r="C748" s="21"/>
      <c r="D748" s="14"/>
      <c r="E748" s="32"/>
      <c r="F748" s="32"/>
      <c r="G748" s="2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7"/>
      <c r="S748" s="7"/>
      <c r="T748" s="4"/>
      <c r="U748" s="4"/>
      <c r="V748" s="4"/>
      <c r="W748" s="4"/>
      <c r="X748" s="4"/>
      <c r="Y748" s="4"/>
      <c r="Z748" s="4"/>
    </row>
    <row r="749" ht="12.75" customHeight="1">
      <c r="A749" s="14"/>
      <c r="B749" s="21"/>
      <c r="C749" s="21"/>
      <c r="D749" s="14"/>
      <c r="E749" s="32"/>
      <c r="F749" s="32"/>
      <c r="G749" s="2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7"/>
      <c r="S749" s="7"/>
      <c r="T749" s="4"/>
      <c r="U749" s="4"/>
      <c r="V749" s="4"/>
      <c r="W749" s="4"/>
      <c r="X749" s="4"/>
      <c r="Y749" s="4"/>
      <c r="Z749" s="4"/>
    </row>
    <row r="750" ht="12.75" customHeight="1">
      <c r="A750" s="14"/>
      <c r="B750" s="21"/>
      <c r="C750" s="21"/>
      <c r="D750" s="14"/>
      <c r="E750" s="32"/>
      <c r="F750" s="32"/>
      <c r="G750" s="2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7"/>
      <c r="S750" s="7"/>
      <c r="T750" s="4"/>
      <c r="U750" s="4"/>
      <c r="V750" s="4"/>
      <c r="W750" s="4"/>
      <c r="X750" s="4"/>
      <c r="Y750" s="4"/>
      <c r="Z750" s="4"/>
    </row>
    <row r="751" ht="12.75" customHeight="1">
      <c r="A751" s="14"/>
      <c r="B751" s="21"/>
      <c r="C751" s="21"/>
      <c r="D751" s="14"/>
      <c r="E751" s="32"/>
      <c r="F751" s="32"/>
      <c r="G751" s="2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7"/>
      <c r="S751" s="7"/>
      <c r="T751" s="4"/>
      <c r="U751" s="4"/>
      <c r="V751" s="4"/>
      <c r="W751" s="4"/>
      <c r="X751" s="4"/>
      <c r="Y751" s="4"/>
      <c r="Z751" s="4"/>
    </row>
    <row r="752" ht="12.75" customHeight="1">
      <c r="A752" s="14"/>
      <c r="B752" s="21"/>
      <c r="C752" s="21"/>
      <c r="D752" s="14"/>
      <c r="E752" s="32"/>
      <c r="F752" s="32"/>
      <c r="G752" s="2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7"/>
      <c r="S752" s="7"/>
      <c r="T752" s="4"/>
      <c r="U752" s="4"/>
      <c r="V752" s="4"/>
      <c r="W752" s="4"/>
      <c r="X752" s="4"/>
      <c r="Y752" s="4"/>
      <c r="Z752" s="4"/>
    </row>
    <row r="753" ht="12.75" customHeight="1">
      <c r="A753" s="14"/>
      <c r="B753" s="21"/>
      <c r="C753" s="21"/>
      <c r="D753" s="14"/>
      <c r="E753" s="32"/>
      <c r="F753" s="32"/>
      <c r="G753" s="2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7"/>
      <c r="S753" s="7"/>
      <c r="T753" s="4"/>
      <c r="U753" s="4"/>
      <c r="V753" s="4"/>
      <c r="W753" s="4"/>
      <c r="X753" s="4"/>
      <c r="Y753" s="4"/>
      <c r="Z753" s="4"/>
    </row>
    <row r="754" ht="12.75" customHeight="1">
      <c r="A754" s="14"/>
      <c r="B754" s="21"/>
      <c r="C754" s="21"/>
      <c r="D754" s="14"/>
      <c r="E754" s="32"/>
      <c r="F754" s="32"/>
      <c r="G754" s="2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7"/>
      <c r="S754" s="7"/>
      <c r="T754" s="4"/>
      <c r="U754" s="4"/>
      <c r="V754" s="4"/>
      <c r="W754" s="4"/>
      <c r="X754" s="4"/>
      <c r="Y754" s="4"/>
      <c r="Z754" s="4"/>
    </row>
    <row r="755" ht="12.75" customHeight="1">
      <c r="A755" s="14"/>
      <c r="B755" s="21"/>
      <c r="C755" s="21"/>
      <c r="D755" s="14"/>
      <c r="E755" s="32"/>
      <c r="F755" s="32"/>
      <c r="G755" s="2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7"/>
      <c r="S755" s="7"/>
      <c r="T755" s="4"/>
      <c r="U755" s="4"/>
      <c r="V755" s="4"/>
      <c r="W755" s="4"/>
      <c r="X755" s="4"/>
      <c r="Y755" s="4"/>
      <c r="Z755" s="4"/>
    </row>
    <row r="756" ht="12.75" customHeight="1">
      <c r="A756" s="14"/>
      <c r="B756" s="21"/>
      <c r="C756" s="21"/>
      <c r="D756" s="14"/>
      <c r="E756" s="32"/>
      <c r="F756" s="32"/>
      <c r="G756" s="2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7"/>
      <c r="S756" s="7"/>
      <c r="T756" s="4"/>
      <c r="U756" s="4"/>
      <c r="V756" s="4"/>
      <c r="W756" s="4"/>
      <c r="X756" s="4"/>
      <c r="Y756" s="4"/>
      <c r="Z756" s="4"/>
    </row>
    <row r="757" ht="12.75" customHeight="1">
      <c r="A757" s="14"/>
      <c r="B757" s="21"/>
      <c r="C757" s="21"/>
      <c r="D757" s="14"/>
      <c r="E757" s="32"/>
      <c r="F757" s="32"/>
      <c r="G757" s="2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7"/>
      <c r="S757" s="7"/>
      <c r="T757" s="4"/>
      <c r="U757" s="4"/>
      <c r="V757" s="4"/>
      <c r="W757" s="4"/>
      <c r="X757" s="4"/>
      <c r="Y757" s="4"/>
      <c r="Z757" s="4"/>
    </row>
    <row r="758" ht="12.75" customHeight="1">
      <c r="A758" s="14"/>
      <c r="B758" s="21"/>
      <c r="C758" s="21"/>
      <c r="D758" s="14"/>
      <c r="E758" s="32"/>
      <c r="F758" s="32"/>
      <c r="G758" s="2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7"/>
      <c r="S758" s="7"/>
      <c r="T758" s="4"/>
      <c r="U758" s="4"/>
      <c r="V758" s="4"/>
      <c r="W758" s="4"/>
      <c r="X758" s="4"/>
      <c r="Y758" s="4"/>
      <c r="Z758" s="4"/>
    </row>
    <row r="759" ht="12.75" customHeight="1">
      <c r="A759" s="14"/>
      <c r="B759" s="21"/>
      <c r="C759" s="21"/>
      <c r="D759" s="14"/>
      <c r="E759" s="32"/>
      <c r="F759" s="32"/>
      <c r="G759" s="2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7"/>
      <c r="S759" s="7"/>
      <c r="T759" s="4"/>
      <c r="U759" s="4"/>
      <c r="V759" s="4"/>
      <c r="W759" s="4"/>
      <c r="X759" s="4"/>
      <c r="Y759" s="4"/>
      <c r="Z759" s="4"/>
    </row>
    <row r="760" ht="12.75" customHeight="1">
      <c r="A760" s="14"/>
      <c r="B760" s="21"/>
      <c r="C760" s="21"/>
      <c r="D760" s="14"/>
      <c r="E760" s="32"/>
      <c r="F760" s="32"/>
      <c r="G760" s="2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7"/>
      <c r="S760" s="7"/>
      <c r="T760" s="4"/>
      <c r="U760" s="4"/>
      <c r="V760" s="4"/>
      <c r="W760" s="4"/>
      <c r="X760" s="4"/>
      <c r="Y760" s="4"/>
      <c r="Z760" s="4"/>
    </row>
    <row r="761" ht="12.75" customHeight="1">
      <c r="A761" s="14"/>
      <c r="B761" s="21"/>
      <c r="C761" s="21"/>
      <c r="D761" s="14"/>
      <c r="E761" s="32"/>
      <c r="F761" s="32"/>
      <c r="G761" s="2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7"/>
      <c r="S761" s="7"/>
      <c r="T761" s="4"/>
      <c r="U761" s="4"/>
      <c r="V761" s="4"/>
      <c r="W761" s="4"/>
      <c r="X761" s="4"/>
      <c r="Y761" s="4"/>
      <c r="Z761" s="4"/>
    </row>
    <row r="762" ht="12.75" customHeight="1">
      <c r="A762" s="14"/>
      <c r="B762" s="21"/>
      <c r="C762" s="21"/>
      <c r="D762" s="14"/>
      <c r="E762" s="32"/>
      <c r="F762" s="32"/>
      <c r="G762" s="2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7"/>
      <c r="S762" s="7"/>
      <c r="T762" s="4"/>
      <c r="U762" s="4"/>
      <c r="V762" s="4"/>
      <c r="W762" s="4"/>
      <c r="X762" s="4"/>
      <c r="Y762" s="4"/>
      <c r="Z762" s="4"/>
    </row>
    <row r="763" ht="12.75" customHeight="1">
      <c r="A763" s="14"/>
      <c r="B763" s="21"/>
      <c r="C763" s="21"/>
      <c r="D763" s="14"/>
      <c r="E763" s="32"/>
      <c r="F763" s="32"/>
      <c r="G763" s="2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7"/>
      <c r="S763" s="7"/>
      <c r="T763" s="4"/>
      <c r="U763" s="4"/>
      <c r="V763" s="4"/>
      <c r="W763" s="4"/>
      <c r="X763" s="4"/>
      <c r="Y763" s="4"/>
      <c r="Z763" s="4"/>
    </row>
    <row r="764" ht="12.75" customHeight="1">
      <c r="A764" s="14"/>
      <c r="B764" s="21"/>
      <c r="C764" s="21"/>
      <c r="D764" s="14"/>
      <c r="E764" s="32"/>
      <c r="F764" s="32"/>
      <c r="G764" s="2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7"/>
      <c r="S764" s="7"/>
      <c r="T764" s="4"/>
      <c r="U764" s="4"/>
      <c r="V764" s="4"/>
      <c r="W764" s="4"/>
      <c r="X764" s="4"/>
      <c r="Y764" s="4"/>
      <c r="Z764" s="4"/>
    </row>
    <row r="765" ht="12.75" customHeight="1">
      <c r="A765" s="14"/>
      <c r="B765" s="21"/>
      <c r="C765" s="21"/>
      <c r="D765" s="14"/>
      <c r="E765" s="32"/>
      <c r="F765" s="32"/>
      <c r="G765" s="2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7"/>
      <c r="S765" s="7"/>
      <c r="T765" s="4"/>
      <c r="U765" s="4"/>
      <c r="V765" s="4"/>
      <c r="W765" s="4"/>
      <c r="X765" s="4"/>
      <c r="Y765" s="4"/>
      <c r="Z765" s="4"/>
    </row>
    <row r="766" ht="12.75" customHeight="1">
      <c r="A766" s="14"/>
      <c r="B766" s="21"/>
      <c r="C766" s="21"/>
      <c r="D766" s="14"/>
      <c r="E766" s="32"/>
      <c r="F766" s="32"/>
      <c r="G766" s="2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7"/>
      <c r="S766" s="7"/>
      <c r="T766" s="4"/>
      <c r="U766" s="4"/>
      <c r="V766" s="4"/>
      <c r="W766" s="4"/>
      <c r="X766" s="4"/>
      <c r="Y766" s="4"/>
      <c r="Z766" s="4"/>
    </row>
    <row r="767" ht="12.75" customHeight="1">
      <c r="A767" s="14"/>
      <c r="B767" s="21"/>
      <c r="C767" s="21"/>
      <c r="D767" s="14"/>
      <c r="E767" s="32"/>
      <c r="F767" s="32"/>
      <c r="G767" s="2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7"/>
      <c r="S767" s="7"/>
      <c r="T767" s="4"/>
      <c r="U767" s="4"/>
      <c r="V767" s="4"/>
      <c r="W767" s="4"/>
      <c r="X767" s="4"/>
      <c r="Y767" s="4"/>
      <c r="Z767" s="4"/>
    </row>
    <row r="768" ht="12.75" customHeight="1">
      <c r="A768" s="14"/>
      <c r="B768" s="21"/>
      <c r="C768" s="21"/>
      <c r="D768" s="14"/>
      <c r="E768" s="32"/>
      <c r="F768" s="32"/>
      <c r="G768" s="2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7"/>
      <c r="S768" s="7"/>
      <c r="T768" s="4"/>
      <c r="U768" s="4"/>
      <c r="V768" s="4"/>
      <c r="W768" s="4"/>
      <c r="X768" s="4"/>
      <c r="Y768" s="4"/>
      <c r="Z768" s="4"/>
    </row>
    <row r="769" ht="12.75" customHeight="1">
      <c r="A769" s="14"/>
      <c r="B769" s="21"/>
      <c r="C769" s="21"/>
      <c r="D769" s="14"/>
      <c r="E769" s="32"/>
      <c r="F769" s="32"/>
      <c r="G769" s="2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7"/>
      <c r="S769" s="7"/>
      <c r="T769" s="4"/>
      <c r="U769" s="4"/>
      <c r="V769" s="4"/>
      <c r="W769" s="4"/>
      <c r="X769" s="4"/>
      <c r="Y769" s="4"/>
      <c r="Z769" s="4"/>
    </row>
    <row r="770" ht="12.75" customHeight="1">
      <c r="A770" s="14"/>
      <c r="B770" s="21"/>
      <c r="C770" s="21"/>
      <c r="D770" s="14"/>
      <c r="E770" s="32"/>
      <c r="F770" s="32"/>
      <c r="G770" s="2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7"/>
      <c r="S770" s="7"/>
      <c r="T770" s="4"/>
      <c r="U770" s="4"/>
      <c r="V770" s="4"/>
      <c r="W770" s="4"/>
      <c r="X770" s="4"/>
      <c r="Y770" s="4"/>
      <c r="Z770" s="4"/>
    </row>
    <row r="771" ht="12.75" customHeight="1">
      <c r="A771" s="14"/>
      <c r="B771" s="21"/>
      <c r="C771" s="21"/>
      <c r="D771" s="14"/>
      <c r="E771" s="32"/>
      <c r="F771" s="32"/>
      <c r="G771" s="2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7"/>
      <c r="S771" s="7"/>
      <c r="T771" s="4"/>
      <c r="U771" s="4"/>
      <c r="V771" s="4"/>
      <c r="W771" s="4"/>
      <c r="X771" s="4"/>
      <c r="Y771" s="4"/>
      <c r="Z771" s="4"/>
    </row>
    <row r="772" ht="12.75" customHeight="1">
      <c r="A772" s="14"/>
      <c r="B772" s="21"/>
      <c r="C772" s="21"/>
      <c r="D772" s="14"/>
      <c r="E772" s="32"/>
      <c r="F772" s="32"/>
      <c r="G772" s="2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7"/>
      <c r="S772" s="7"/>
      <c r="T772" s="4"/>
      <c r="U772" s="4"/>
      <c r="V772" s="4"/>
      <c r="W772" s="4"/>
      <c r="X772" s="4"/>
      <c r="Y772" s="4"/>
      <c r="Z772" s="4"/>
    </row>
    <row r="773" ht="12.75" customHeight="1">
      <c r="A773" s="14"/>
      <c r="B773" s="21"/>
      <c r="C773" s="21"/>
      <c r="D773" s="14"/>
      <c r="E773" s="32"/>
      <c r="F773" s="32"/>
      <c r="G773" s="2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7"/>
      <c r="S773" s="7"/>
      <c r="T773" s="4"/>
      <c r="U773" s="4"/>
      <c r="V773" s="4"/>
      <c r="W773" s="4"/>
      <c r="X773" s="4"/>
      <c r="Y773" s="4"/>
      <c r="Z773" s="4"/>
    </row>
    <row r="774" ht="12.75" customHeight="1">
      <c r="A774" s="14"/>
      <c r="B774" s="21"/>
      <c r="C774" s="21"/>
      <c r="D774" s="14"/>
      <c r="E774" s="32"/>
      <c r="F774" s="32"/>
      <c r="G774" s="2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7"/>
      <c r="S774" s="7"/>
      <c r="T774" s="4"/>
      <c r="U774" s="4"/>
      <c r="V774" s="4"/>
      <c r="W774" s="4"/>
      <c r="X774" s="4"/>
      <c r="Y774" s="4"/>
      <c r="Z774" s="4"/>
    </row>
    <row r="775" ht="12.75" customHeight="1">
      <c r="A775" s="14"/>
      <c r="B775" s="21"/>
      <c r="C775" s="21"/>
      <c r="D775" s="14"/>
      <c r="E775" s="32"/>
      <c r="F775" s="32"/>
      <c r="G775" s="2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7"/>
      <c r="S775" s="7"/>
      <c r="T775" s="4"/>
      <c r="U775" s="4"/>
      <c r="V775" s="4"/>
      <c r="W775" s="4"/>
      <c r="X775" s="4"/>
      <c r="Y775" s="4"/>
      <c r="Z775" s="4"/>
    </row>
    <row r="776" ht="12.75" customHeight="1">
      <c r="A776" s="14"/>
      <c r="B776" s="21"/>
      <c r="C776" s="21"/>
      <c r="D776" s="14"/>
      <c r="E776" s="32"/>
      <c r="F776" s="32"/>
      <c r="G776" s="2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7"/>
      <c r="S776" s="7"/>
      <c r="T776" s="4"/>
      <c r="U776" s="4"/>
      <c r="V776" s="4"/>
      <c r="W776" s="4"/>
      <c r="X776" s="4"/>
      <c r="Y776" s="4"/>
      <c r="Z776" s="4"/>
    </row>
    <row r="777" ht="12.75" customHeight="1">
      <c r="A777" s="14"/>
      <c r="B777" s="21"/>
      <c r="C777" s="21"/>
      <c r="D777" s="14"/>
      <c r="E777" s="32"/>
      <c r="F777" s="32"/>
      <c r="G777" s="2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7"/>
      <c r="S777" s="7"/>
      <c r="T777" s="4"/>
      <c r="U777" s="4"/>
      <c r="V777" s="4"/>
      <c r="W777" s="4"/>
      <c r="X777" s="4"/>
      <c r="Y777" s="4"/>
      <c r="Z777" s="4"/>
    </row>
    <row r="778" ht="12.75" customHeight="1">
      <c r="A778" s="14"/>
      <c r="B778" s="21"/>
      <c r="C778" s="21"/>
      <c r="D778" s="14"/>
      <c r="E778" s="32"/>
      <c r="F778" s="32"/>
      <c r="G778" s="2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7"/>
      <c r="S778" s="7"/>
      <c r="T778" s="4"/>
      <c r="U778" s="4"/>
      <c r="V778" s="4"/>
      <c r="W778" s="4"/>
      <c r="X778" s="4"/>
      <c r="Y778" s="4"/>
      <c r="Z778" s="4"/>
    </row>
    <row r="779" ht="12.75" customHeight="1">
      <c r="A779" s="14"/>
      <c r="B779" s="21"/>
      <c r="C779" s="21"/>
      <c r="D779" s="14"/>
      <c r="E779" s="32"/>
      <c r="F779" s="32"/>
      <c r="G779" s="2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7"/>
      <c r="S779" s="7"/>
      <c r="T779" s="4"/>
      <c r="U779" s="4"/>
      <c r="V779" s="4"/>
      <c r="W779" s="4"/>
      <c r="X779" s="4"/>
      <c r="Y779" s="4"/>
      <c r="Z779" s="4"/>
    </row>
    <row r="780" ht="12.75" customHeight="1">
      <c r="A780" s="14"/>
      <c r="B780" s="21"/>
      <c r="C780" s="21"/>
      <c r="D780" s="14"/>
      <c r="E780" s="32"/>
      <c r="F780" s="32"/>
      <c r="G780" s="2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7"/>
      <c r="S780" s="7"/>
      <c r="T780" s="4"/>
      <c r="U780" s="4"/>
      <c r="V780" s="4"/>
      <c r="W780" s="4"/>
      <c r="X780" s="4"/>
      <c r="Y780" s="4"/>
      <c r="Z780" s="4"/>
    </row>
    <row r="781" ht="12.75" customHeight="1">
      <c r="A781" s="14"/>
      <c r="B781" s="21"/>
      <c r="C781" s="21"/>
      <c r="D781" s="14"/>
      <c r="E781" s="32"/>
      <c r="F781" s="32"/>
      <c r="G781" s="2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7"/>
      <c r="S781" s="7"/>
      <c r="T781" s="4"/>
      <c r="U781" s="4"/>
      <c r="V781" s="4"/>
      <c r="W781" s="4"/>
      <c r="X781" s="4"/>
      <c r="Y781" s="4"/>
      <c r="Z781" s="4"/>
    </row>
    <row r="782" ht="12.75" customHeight="1">
      <c r="A782" s="14"/>
      <c r="B782" s="21"/>
      <c r="C782" s="21"/>
      <c r="D782" s="14"/>
      <c r="E782" s="32"/>
      <c r="F782" s="32"/>
      <c r="G782" s="2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7"/>
      <c r="S782" s="7"/>
      <c r="T782" s="4"/>
      <c r="U782" s="4"/>
      <c r="V782" s="4"/>
      <c r="W782" s="4"/>
      <c r="X782" s="4"/>
      <c r="Y782" s="4"/>
      <c r="Z782" s="4"/>
    </row>
    <row r="783" ht="12.75" customHeight="1">
      <c r="A783" s="14"/>
      <c r="B783" s="21"/>
      <c r="C783" s="21"/>
      <c r="D783" s="14"/>
      <c r="E783" s="32"/>
      <c r="F783" s="32"/>
      <c r="G783" s="2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7"/>
      <c r="S783" s="7"/>
      <c r="T783" s="4"/>
      <c r="U783" s="4"/>
      <c r="V783" s="4"/>
      <c r="W783" s="4"/>
      <c r="X783" s="4"/>
      <c r="Y783" s="4"/>
      <c r="Z783" s="4"/>
    </row>
    <row r="784" ht="12.75" customHeight="1">
      <c r="A784" s="14"/>
      <c r="B784" s="21"/>
      <c r="C784" s="21"/>
      <c r="D784" s="14"/>
      <c r="E784" s="32"/>
      <c r="F784" s="32"/>
      <c r="G784" s="2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7"/>
      <c r="S784" s="7"/>
      <c r="T784" s="4"/>
      <c r="U784" s="4"/>
      <c r="V784" s="4"/>
      <c r="W784" s="4"/>
      <c r="X784" s="4"/>
      <c r="Y784" s="4"/>
      <c r="Z784" s="4"/>
    </row>
    <row r="785" ht="12.75" customHeight="1">
      <c r="A785" s="14"/>
      <c r="B785" s="21"/>
      <c r="C785" s="21"/>
      <c r="D785" s="14"/>
      <c r="E785" s="32"/>
      <c r="F785" s="32"/>
      <c r="G785" s="2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7"/>
      <c r="S785" s="7"/>
      <c r="T785" s="4"/>
      <c r="U785" s="4"/>
      <c r="V785" s="4"/>
      <c r="W785" s="4"/>
      <c r="X785" s="4"/>
      <c r="Y785" s="4"/>
      <c r="Z785" s="4"/>
    </row>
    <row r="786" ht="12.75" customHeight="1">
      <c r="A786" s="14"/>
      <c r="B786" s="21"/>
      <c r="C786" s="21"/>
      <c r="D786" s="14"/>
      <c r="E786" s="32"/>
      <c r="F786" s="32"/>
      <c r="G786" s="2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7"/>
      <c r="S786" s="7"/>
      <c r="T786" s="4"/>
      <c r="U786" s="4"/>
      <c r="V786" s="4"/>
      <c r="W786" s="4"/>
      <c r="X786" s="4"/>
      <c r="Y786" s="4"/>
      <c r="Z786" s="4"/>
    </row>
    <row r="787" ht="12.75" customHeight="1">
      <c r="A787" s="14"/>
      <c r="B787" s="21"/>
      <c r="C787" s="21"/>
      <c r="D787" s="14"/>
      <c r="E787" s="32"/>
      <c r="F787" s="32"/>
      <c r="G787" s="2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7"/>
      <c r="S787" s="7"/>
      <c r="T787" s="4"/>
      <c r="U787" s="4"/>
      <c r="V787" s="4"/>
      <c r="W787" s="4"/>
      <c r="X787" s="4"/>
      <c r="Y787" s="4"/>
      <c r="Z787" s="4"/>
    </row>
    <row r="788" ht="12.75" customHeight="1">
      <c r="A788" s="14"/>
      <c r="B788" s="21"/>
      <c r="C788" s="21"/>
      <c r="D788" s="14"/>
      <c r="E788" s="32"/>
      <c r="F788" s="32"/>
      <c r="G788" s="2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7"/>
      <c r="S788" s="7"/>
      <c r="T788" s="4"/>
      <c r="U788" s="4"/>
      <c r="V788" s="4"/>
      <c r="W788" s="4"/>
      <c r="X788" s="4"/>
      <c r="Y788" s="4"/>
      <c r="Z788" s="4"/>
    </row>
    <row r="789" ht="12.75" customHeight="1">
      <c r="A789" s="14"/>
      <c r="B789" s="21"/>
      <c r="C789" s="21"/>
      <c r="D789" s="14"/>
      <c r="E789" s="32"/>
      <c r="F789" s="32"/>
      <c r="G789" s="2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7"/>
      <c r="S789" s="7"/>
      <c r="T789" s="4"/>
      <c r="U789" s="4"/>
      <c r="V789" s="4"/>
      <c r="W789" s="4"/>
      <c r="X789" s="4"/>
      <c r="Y789" s="4"/>
      <c r="Z789" s="4"/>
    </row>
    <row r="790" ht="12.75" customHeight="1">
      <c r="A790" s="14"/>
      <c r="B790" s="21"/>
      <c r="C790" s="21"/>
      <c r="D790" s="14"/>
      <c r="E790" s="32"/>
      <c r="F790" s="32"/>
      <c r="G790" s="2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7"/>
      <c r="S790" s="7"/>
      <c r="T790" s="4"/>
      <c r="U790" s="4"/>
      <c r="V790" s="4"/>
      <c r="W790" s="4"/>
      <c r="X790" s="4"/>
      <c r="Y790" s="4"/>
      <c r="Z790" s="4"/>
    </row>
    <row r="791" ht="12.75" customHeight="1">
      <c r="A791" s="14"/>
      <c r="B791" s="21"/>
      <c r="C791" s="21"/>
      <c r="D791" s="14"/>
      <c r="E791" s="32"/>
      <c r="F791" s="32"/>
      <c r="G791" s="2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7"/>
      <c r="S791" s="7"/>
      <c r="T791" s="4"/>
      <c r="U791" s="4"/>
      <c r="V791" s="4"/>
      <c r="W791" s="4"/>
      <c r="X791" s="4"/>
      <c r="Y791" s="4"/>
      <c r="Z791" s="4"/>
    </row>
    <row r="792" ht="12.75" customHeight="1">
      <c r="A792" s="14"/>
      <c r="B792" s="21"/>
      <c r="C792" s="21"/>
      <c r="D792" s="14"/>
      <c r="E792" s="32"/>
      <c r="F792" s="32"/>
      <c r="G792" s="2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7"/>
      <c r="S792" s="7"/>
      <c r="T792" s="4"/>
      <c r="U792" s="4"/>
      <c r="V792" s="4"/>
      <c r="W792" s="4"/>
      <c r="X792" s="4"/>
      <c r="Y792" s="4"/>
      <c r="Z792" s="4"/>
    </row>
    <row r="793" ht="12.75" customHeight="1">
      <c r="A793" s="14"/>
      <c r="B793" s="21"/>
      <c r="C793" s="21"/>
      <c r="D793" s="14"/>
      <c r="E793" s="32"/>
      <c r="F793" s="32"/>
      <c r="G793" s="2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7"/>
      <c r="S793" s="7"/>
      <c r="T793" s="4"/>
      <c r="U793" s="4"/>
      <c r="V793" s="4"/>
      <c r="W793" s="4"/>
      <c r="X793" s="4"/>
      <c r="Y793" s="4"/>
      <c r="Z793" s="4"/>
    </row>
    <row r="794" ht="12.75" customHeight="1">
      <c r="A794" s="14"/>
      <c r="B794" s="21"/>
      <c r="C794" s="21"/>
      <c r="D794" s="14"/>
      <c r="E794" s="32"/>
      <c r="F794" s="32"/>
      <c r="G794" s="2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7"/>
      <c r="S794" s="7"/>
      <c r="T794" s="4"/>
      <c r="U794" s="4"/>
      <c r="V794" s="4"/>
      <c r="W794" s="4"/>
      <c r="X794" s="4"/>
      <c r="Y794" s="4"/>
      <c r="Z794" s="4"/>
    </row>
    <row r="795" ht="12.75" customHeight="1">
      <c r="A795" s="14"/>
      <c r="B795" s="21"/>
      <c r="C795" s="21"/>
      <c r="D795" s="14"/>
      <c r="E795" s="32"/>
      <c r="F795" s="32"/>
      <c r="G795" s="2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7"/>
      <c r="S795" s="7"/>
      <c r="T795" s="4"/>
      <c r="U795" s="4"/>
      <c r="V795" s="4"/>
      <c r="W795" s="4"/>
      <c r="X795" s="4"/>
      <c r="Y795" s="4"/>
      <c r="Z795" s="4"/>
    </row>
    <row r="796" ht="12.75" customHeight="1">
      <c r="A796" s="14"/>
      <c r="B796" s="21"/>
      <c r="C796" s="21"/>
      <c r="D796" s="14"/>
      <c r="E796" s="32"/>
      <c r="F796" s="32"/>
      <c r="G796" s="2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7"/>
      <c r="S796" s="7"/>
      <c r="T796" s="4"/>
      <c r="U796" s="4"/>
      <c r="V796" s="4"/>
      <c r="W796" s="4"/>
      <c r="X796" s="4"/>
      <c r="Y796" s="4"/>
      <c r="Z796" s="4"/>
    </row>
    <row r="797" ht="12.75" customHeight="1">
      <c r="A797" s="14"/>
      <c r="B797" s="21"/>
      <c r="C797" s="21"/>
      <c r="D797" s="14"/>
      <c r="E797" s="32"/>
      <c r="F797" s="32"/>
      <c r="G797" s="2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7"/>
      <c r="S797" s="7"/>
      <c r="T797" s="4"/>
      <c r="U797" s="4"/>
      <c r="V797" s="4"/>
      <c r="W797" s="4"/>
      <c r="X797" s="4"/>
      <c r="Y797" s="4"/>
      <c r="Z797" s="4"/>
    </row>
    <row r="798" ht="12.75" customHeight="1">
      <c r="A798" s="14"/>
      <c r="B798" s="21"/>
      <c r="C798" s="21"/>
      <c r="D798" s="14"/>
      <c r="E798" s="32"/>
      <c r="F798" s="32"/>
      <c r="G798" s="2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7"/>
      <c r="S798" s="7"/>
      <c r="T798" s="4"/>
      <c r="U798" s="4"/>
      <c r="V798" s="4"/>
      <c r="W798" s="4"/>
      <c r="X798" s="4"/>
      <c r="Y798" s="4"/>
      <c r="Z798" s="4"/>
    </row>
    <row r="799" ht="12.75" customHeight="1">
      <c r="A799" s="14"/>
      <c r="B799" s="21"/>
      <c r="C799" s="21"/>
      <c r="D799" s="14"/>
      <c r="E799" s="32"/>
      <c r="F799" s="32"/>
      <c r="G799" s="2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7"/>
      <c r="S799" s="7"/>
      <c r="T799" s="4"/>
      <c r="U799" s="4"/>
      <c r="V799" s="4"/>
      <c r="W799" s="4"/>
      <c r="X799" s="4"/>
      <c r="Y799" s="4"/>
      <c r="Z799" s="4"/>
    </row>
    <row r="800" ht="12.75" customHeight="1">
      <c r="A800" s="14"/>
      <c r="B800" s="21"/>
      <c r="C800" s="21"/>
      <c r="D800" s="14"/>
      <c r="E800" s="32"/>
      <c r="F800" s="32"/>
      <c r="G800" s="2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7"/>
      <c r="S800" s="7"/>
      <c r="T800" s="4"/>
      <c r="U800" s="4"/>
      <c r="V800" s="4"/>
      <c r="W800" s="4"/>
      <c r="X800" s="4"/>
      <c r="Y800" s="4"/>
      <c r="Z800" s="4"/>
    </row>
    <row r="801" ht="12.75" customHeight="1">
      <c r="A801" s="14"/>
      <c r="B801" s="21"/>
      <c r="C801" s="21"/>
      <c r="D801" s="14"/>
      <c r="E801" s="32"/>
      <c r="F801" s="32"/>
      <c r="G801" s="2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7"/>
      <c r="S801" s="7"/>
      <c r="T801" s="4"/>
      <c r="U801" s="4"/>
      <c r="V801" s="4"/>
      <c r="W801" s="4"/>
      <c r="X801" s="4"/>
      <c r="Y801" s="4"/>
      <c r="Z801" s="4"/>
    </row>
    <row r="802" ht="12.75" customHeight="1">
      <c r="A802" s="14"/>
      <c r="B802" s="21"/>
      <c r="C802" s="21"/>
      <c r="D802" s="14"/>
      <c r="E802" s="32"/>
      <c r="F802" s="32"/>
      <c r="G802" s="2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7"/>
      <c r="S802" s="7"/>
      <c r="T802" s="4"/>
      <c r="U802" s="4"/>
      <c r="V802" s="4"/>
      <c r="W802" s="4"/>
      <c r="X802" s="4"/>
      <c r="Y802" s="4"/>
      <c r="Z802" s="4"/>
    </row>
    <row r="803" ht="12.75" customHeight="1">
      <c r="A803" s="14"/>
      <c r="B803" s="21"/>
      <c r="C803" s="21"/>
      <c r="D803" s="14"/>
      <c r="E803" s="32"/>
      <c r="F803" s="32"/>
      <c r="G803" s="2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7"/>
      <c r="S803" s="7"/>
      <c r="T803" s="4"/>
      <c r="U803" s="4"/>
      <c r="V803" s="4"/>
      <c r="W803" s="4"/>
      <c r="X803" s="4"/>
      <c r="Y803" s="4"/>
      <c r="Z803" s="4"/>
    </row>
    <row r="804" ht="12.75" customHeight="1">
      <c r="A804" s="14"/>
      <c r="B804" s="21"/>
      <c r="C804" s="21"/>
      <c r="D804" s="14"/>
      <c r="E804" s="32"/>
      <c r="F804" s="32"/>
      <c r="G804" s="2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7"/>
      <c r="S804" s="7"/>
      <c r="T804" s="4"/>
      <c r="U804" s="4"/>
      <c r="V804" s="4"/>
      <c r="W804" s="4"/>
      <c r="X804" s="4"/>
      <c r="Y804" s="4"/>
      <c r="Z804" s="4"/>
    </row>
    <row r="805" ht="12.75" customHeight="1">
      <c r="A805" s="14"/>
      <c r="B805" s="21"/>
      <c r="C805" s="21"/>
      <c r="D805" s="14"/>
      <c r="E805" s="32"/>
      <c r="F805" s="32"/>
      <c r="G805" s="2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7"/>
      <c r="S805" s="7"/>
      <c r="T805" s="4"/>
      <c r="U805" s="4"/>
      <c r="V805" s="4"/>
      <c r="W805" s="4"/>
      <c r="X805" s="4"/>
      <c r="Y805" s="4"/>
      <c r="Z805" s="4"/>
    </row>
    <row r="806" ht="12.75" customHeight="1">
      <c r="A806" s="14"/>
      <c r="B806" s="21"/>
      <c r="C806" s="21"/>
      <c r="D806" s="14"/>
      <c r="E806" s="32"/>
      <c r="F806" s="32"/>
      <c r="G806" s="2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7"/>
      <c r="S806" s="7"/>
      <c r="T806" s="4"/>
      <c r="U806" s="4"/>
      <c r="V806" s="4"/>
      <c r="W806" s="4"/>
      <c r="X806" s="4"/>
      <c r="Y806" s="4"/>
      <c r="Z806" s="4"/>
    </row>
    <row r="807" ht="12.75" customHeight="1">
      <c r="A807" s="14"/>
      <c r="B807" s="21"/>
      <c r="C807" s="21"/>
      <c r="D807" s="14"/>
      <c r="E807" s="32"/>
      <c r="F807" s="32"/>
      <c r="G807" s="2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7"/>
      <c r="S807" s="7"/>
      <c r="T807" s="4"/>
      <c r="U807" s="4"/>
      <c r="V807" s="4"/>
      <c r="W807" s="4"/>
      <c r="X807" s="4"/>
      <c r="Y807" s="4"/>
      <c r="Z807" s="4"/>
    </row>
    <row r="808" ht="12.75" customHeight="1">
      <c r="A808" s="14"/>
      <c r="B808" s="21"/>
      <c r="C808" s="21"/>
      <c r="D808" s="14"/>
      <c r="E808" s="32"/>
      <c r="F808" s="32"/>
      <c r="G808" s="2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7"/>
      <c r="S808" s="7"/>
      <c r="T808" s="4"/>
      <c r="U808" s="4"/>
      <c r="V808" s="4"/>
      <c r="W808" s="4"/>
      <c r="X808" s="4"/>
      <c r="Y808" s="4"/>
      <c r="Z808" s="4"/>
    </row>
    <row r="809" ht="12.75" customHeight="1">
      <c r="A809" s="14"/>
      <c r="B809" s="21"/>
      <c r="C809" s="21"/>
      <c r="D809" s="14"/>
      <c r="E809" s="32"/>
      <c r="F809" s="32"/>
      <c r="G809" s="2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7"/>
      <c r="S809" s="7"/>
      <c r="T809" s="4"/>
      <c r="U809" s="4"/>
      <c r="V809" s="4"/>
      <c r="W809" s="4"/>
      <c r="X809" s="4"/>
      <c r="Y809" s="4"/>
      <c r="Z809" s="4"/>
    </row>
    <row r="810" ht="12.75" customHeight="1">
      <c r="A810" s="14"/>
      <c r="B810" s="21"/>
      <c r="C810" s="21"/>
      <c r="D810" s="14"/>
      <c r="E810" s="32"/>
      <c r="F810" s="32"/>
      <c r="G810" s="2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7"/>
      <c r="S810" s="7"/>
      <c r="T810" s="4"/>
      <c r="U810" s="4"/>
      <c r="V810" s="4"/>
      <c r="W810" s="4"/>
      <c r="X810" s="4"/>
      <c r="Y810" s="4"/>
      <c r="Z810" s="4"/>
    </row>
    <row r="811" ht="12.75" customHeight="1">
      <c r="A811" s="14"/>
      <c r="B811" s="21"/>
      <c r="C811" s="21"/>
      <c r="D811" s="14"/>
      <c r="E811" s="32"/>
      <c r="F811" s="32"/>
      <c r="G811" s="2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7"/>
      <c r="S811" s="7"/>
      <c r="T811" s="4"/>
      <c r="U811" s="4"/>
      <c r="V811" s="4"/>
      <c r="W811" s="4"/>
      <c r="X811" s="4"/>
      <c r="Y811" s="4"/>
      <c r="Z811" s="4"/>
    </row>
    <row r="812" ht="12.75" customHeight="1">
      <c r="A812" s="14"/>
      <c r="B812" s="21"/>
      <c r="C812" s="21"/>
      <c r="D812" s="14"/>
      <c r="E812" s="32"/>
      <c r="F812" s="32"/>
      <c r="G812" s="2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7"/>
      <c r="S812" s="7"/>
      <c r="T812" s="4"/>
      <c r="U812" s="4"/>
      <c r="V812" s="4"/>
      <c r="W812" s="4"/>
      <c r="X812" s="4"/>
      <c r="Y812" s="4"/>
      <c r="Z812" s="4"/>
    </row>
    <row r="813" ht="12.75" customHeight="1">
      <c r="A813" s="14"/>
      <c r="B813" s="21"/>
      <c r="C813" s="21"/>
      <c r="D813" s="14"/>
      <c r="E813" s="32"/>
      <c r="F813" s="32"/>
      <c r="G813" s="2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7"/>
      <c r="S813" s="7"/>
      <c r="T813" s="4"/>
      <c r="U813" s="4"/>
      <c r="V813" s="4"/>
      <c r="W813" s="4"/>
      <c r="X813" s="4"/>
      <c r="Y813" s="4"/>
      <c r="Z813" s="4"/>
    </row>
    <row r="814" ht="12.75" customHeight="1">
      <c r="A814" s="14"/>
      <c r="B814" s="21"/>
      <c r="C814" s="21"/>
      <c r="D814" s="14"/>
      <c r="E814" s="32"/>
      <c r="F814" s="32"/>
      <c r="G814" s="2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7"/>
      <c r="S814" s="7"/>
      <c r="T814" s="4"/>
      <c r="U814" s="4"/>
      <c r="V814" s="4"/>
      <c r="W814" s="4"/>
      <c r="X814" s="4"/>
      <c r="Y814" s="4"/>
      <c r="Z814" s="4"/>
    </row>
    <row r="815" ht="12.75" customHeight="1">
      <c r="A815" s="14"/>
      <c r="B815" s="21"/>
      <c r="C815" s="21"/>
      <c r="D815" s="14"/>
      <c r="E815" s="32"/>
      <c r="F815" s="32"/>
      <c r="G815" s="2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7"/>
      <c r="S815" s="7"/>
      <c r="T815" s="4"/>
      <c r="U815" s="4"/>
      <c r="V815" s="4"/>
      <c r="W815" s="4"/>
      <c r="X815" s="4"/>
      <c r="Y815" s="4"/>
      <c r="Z815" s="4"/>
    </row>
    <row r="816" ht="12.75" customHeight="1">
      <c r="A816" s="14"/>
      <c r="B816" s="21"/>
      <c r="C816" s="21"/>
      <c r="D816" s="14"/>
      <c r="E816" s="32"/>
      <c r="F816" s="32"/>
      <c r="G816" s="2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7"/>
      <c r="S816" s="7"/>
      <c r="T816" s="4"/>
      <c r="U816" s="4"/>
      <c r="V816" s="4"/>
      <c r="W816" s="4"/>
      <c r="X816" s="4"/>
      <c r="Y816" s="4"/>
      <c r="Z816" s="4"/>
    </row>
    <row r="817" ht="12.75" customHeight="1">
      <c r="A817" s="14"/>
      <c r="B817" s="21"/>
      <c r="C817" s="21"/>
      <c r="D817" s="14"/>
      <c r="E817" s="32"/>
      <c r="F817" s="32"/>
      <c r="G817" s="2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7"/>
      <c r="S817" s="7"/>
      <c r="T817" s="4"/>
      <c r="U817" s="4"/>
      <c r="V817" s="4"/>
      <c r="W817" s="4"/>
      <c r="X817" s="4"/>
      <c r="Y817" s="4"/>
      <c r="Z817" s="4"/>
    </row>
    <row r="818" ht="12.75" customHeight="1">
      <c r="A818" s="14"/>
      <c r="B818" s="21"/>
      <c r="C818" s="21"/>
      <c r="D818" s="14"/>
      <c r="E818" s="32"/>
      <c r="F818" s="32"/>
      <c r="G818" s="2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7"/>
      <c r="S818" s="7"/>
      <c r="T818" s="4"/>
      <c r="U818" s="4"/>
      <c r="V818" s="4"/>
      <c r="W818" s="4"/>
      <c r="X818" s="4"/>
      <c r="Y818" s="4"/>
      <c r="Z818" s="4"/>
    </row>
    <row r="819" ht="12.75" customHeight="1">
      <c r="A819" s="14"/>
      <c r="B819" s="21"/>
      <c r="C819" s="21"/>
      <c r="D819" s="14"/>
      <c r="E819" s="32"/>
      <c r="F819" s="32"/>
      <c r="G819" s="2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7"/>
      <c r="S819" s="7"/>
      <c r="T819" s="4"/>
      <c r="U819" s="4"/>
      <c r="V819" s="4"/>
      <c r="W819" s="4"/>
      <c r="X819" s="4"/>
      <c r="Y819" s="4"/>
      <c r="Z819" s="4"/>
    </row>
    <row r="820" ht="12.75" customHeight="1">
      <c r="A820" s="14"/>
      <c r="B820" s="21"/>
      <c r="C820" s="21"/>
      <c r="D820" s="14"/>
      <c r="E820" s="32"/>
      <c r="F820" s="32"/>
      <c r="G820" s="2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7"/>
      <c r="S820" s="7"/>
      <c r="T820" s="4"/>
      <c r="U820" s="4"/>
      <c r="V820" s="4"/>
      <c r="W820" s="4"/>
      <c r="X820" s="4"/>
      <c r="Y820" s="4"/>
      <c r="Z820" s="4"/>
    </row>
    <row r="821" ht="12.75" customHeight="1">
      <c r="A821" s="14"/>
      <c r="B821" s="21"/>
      <c r="C821" s="21"/>
      <c r="D821" s="14"/>
      <c r="E821" s="32"/>
      <c r="F821" s="32"/>
      <c r="G821" s="2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7"/>
      <c r="S821" s="7"/>
      <c r="T821" s="4"/>
      <c r="U821" s="4"/>
      <c r="V821" s="4"/>
      <c r="W821" s="4"/>
      <c r="X821" s="4"/>
      <c r="Y821" s="4"/>
      <c r="Z821" s="4"/>
    </row>
    <row r="822" ht="12.75" customHeight="1">
      <c r="A822" s="14"/>
      <c r="B822" s="21"/>
      <c r="C822" s="21"/>
      <c r="D822" s="14"/>
      <c r="E822" s="32"/>
      <c r="F822" s="32"/>
      <c r="G822" s="2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7"/>
      <c r="S822" s="7"/>
      <c r="T822" s="4"/>
      <c r="U822" s="4"/>
      <c r="V822" s="4"/>
      <c r="W822" s="4"/>
      <c r="X822" s="4"/>
      <c r="Y822" s="4"/>
      <c r="Z822" s="4"/>
    </row>
    <row r="823" ht="12.75" customHeight="1">
      <c r="A823" s="14"/>
      <c r="B823" s="21"/>
      <c r="C823" s="21"/>
      <c r="D823" s="14"/>
      <c r="E823" s="32"/>
      <c r="F823" s="32"/>
      <c r="G823" s="2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7"/>
      <c r="S823" s="7"/>
      <c r="T823" s="4"/>
      <c r="U823" s="4"/>
      <c r="V823" s="4"/>
      <c r="W823" s="4"/>
      <c r="X823" s="4"/>
      <c r="Y823" s="4"/>
      <c r="Z823" s="4"/>
    </row>
    <row r="824" ht="12.75" customHeight="1">
      <c r="A824" s="14"/>
      <c r="B824" s="21"/>
      <c r="C824" s="21"/>
      <c r="D824" s="14"/>
      <c r="E824" s="32"/>
      <c r="F824" s="32"/>
      <c r="G824" s="2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7"/>
      <c r="S824" s="7"/>
      <c r="T824" s="4"/>
      <c r="U824" s="4"/>
      <c r="V824" s="4"/>
      <c r="W824" s="4"/>
      <c r="X824" s="4"/>
      <c r="Y824" s="4"/>
      <c r="Z824" s="4"/>
    </row>
    <row r="825" ht="12.75" customHeight="1">
      <c r="A825" s="14"/>
      <c r="B825" s="21"/>
      <c r="C825" s="21"/>
      <c r="D825" s="14"/>
      <c r="E825" s="32"/>
      <c r="F825" s="32"/>
      <c r="G825" s="2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7"/>
      <c r="S825" s="7"/>
      <c r="T825" s="4"/>
      <c r="U825" s="4"/>
      <c r="V825" s="4"/>
      <c r="W825" s="4"/>
      <c r="X825" s="4"/>
      <c r="Y825" s="4"/>
      <c r="Z825" s="4"/>
    </row>
    <row r="826" ht="12.75" customHeight="1">
      <c r="A826" s="14"/>
      <c r="B826" s="21"/>
      <c r="C826" s="21"/>
      <c r="D826" s="14"/>
      <c r="E826" s="32"/>
      <c r="F826" s="32"/>
      <c r="G826" s="2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7"/>
      <c r="S826" s="7"/>
      <c r="T826" s="4"/>
      <c r="U826" s="4"/>
      <c r="V826" s="4"/>
      <c r="W826" s="4"/>
      <c r="X826" s="4"/>
      <c r="Y826" s="4"/>
      <c r="Z826" s="4"/>
    </row>
    <row r="827" ht="12.75" customHeight="1">
      <c r="A827" s="14"/>
      <c r="B827" s="21"/>
      <c r="C827" s="21"/>
      <c r="D827" s="14"/>
      <c r="E827" s="32"/>
      <c r="F827" s="32"/>
      <c r="G827" s="2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7"/>
      <c r="S827" s="7"/>
      <c r="T827" s="4"/>
      <c r="U827" s="4"/>
      <c r="V827" s="4"/>
      <c r="W827" s="4"/>
      <c r="X827" s="4"/>
      <c r="Y827" s="4"/>
      <c r="Z827" s="4"/>
    </row>
    <row r="828" ht="12.75" customHeight="1">
      <c r="A828" s="14"/>
      <c r="B828" s="21"/>
      <c r="C828" s="21"/>
      <c r="D828" s="14"/>
      <c r="E828" s="32"/>
      <c r="F828" s="32"/>
      <c r="G828" s="2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7"/>
      <c r="S828" s="7"/>
      <c r="T828" s="4"/>
      <c r="U828" s="4"/>
      <c r="V828" s="4"/>
      <c r="W828" s="4"/>
      <c r="X828" s="4"/>
      <c r="Y828" s="4"/>
      <c r="Z828" s="4"/>
    </row>
    <row r="829" ht="12.75" customHeight="1">
      <c r="A829" s="14"/>
      <c r="B829" s="21"/>
      <c r="C829" s="21"/>
      <c r="D829" s="14"/>
      <c r="E829" s="32"/>
      <c r="F829" s="32"/>
      <c r="G829" s="2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7"/>
      <c r="S829" s="7"/>
      <c r="T829" s="4"/>
      <c r="U829" s="4"/>
      <c r="V829" s="4"/>
      <c r="W829" s="4"/>
      <c r="X829" s="4"/>
      <c r="Y829" s="4"/>
      <c r="Z829" s="4"/>
    </row>
    <row r="830" ht="12.75" customHeight="1">
      <c r="A830" s="14"/>
      <c r="B830" s="21"/>
      <c r="C830" s="21"/>
      <c r="D830" s="14"/>
      <c r="E830" s="32"/>
      <c r="F830" s="32"/>
      <c r="G830" s="2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7"/>
      <c r="S830" s="7"/>
      <c r="T830" s="4"/>
      <c r="U830" s="4"/>
      <c r="V830" s="4"/>
      <c r="W830" s="4"/>
      <c r="X830" s="4"/>
      <c r="Y830" s="4"/>
      <c r="Z830" s="4"/>
    </row>
    <row r="831" ht="12.75" customHeight="1">
      <c r="A831" s="14"/>
      <c r="B831" s="21"/>
      <c r="C831" s="21"/>
      <c r="D831" s="14"/>
      <c r="E831" s="32"/>
      <c r="F831" s="32"/>
      <c r="G831" s="2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7"/>
      <c r="S831" s="7"/>
      <c r="T831" s="4"/>
      <c r="U831" s="4"/>
      <c r="V831" s="4"/>
      <c r="W831" s="4"/>
      <c r="X831" s="4"/>
      <c r="Y831" s="4"/>
      <c r="Z831" s="4"/>
    </row>
    <row r="832" ht="12.75" customHeight="1">
      <c r="A832" s="14"/>
      <c r="B832" s="21"/>
      <c r="C832" s="21"/>
      <c r="D832" s="14"/>
      <c r="E832" s="32"/>
      <c r="F832" s="32"/>
      <c r="G832" s="2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7"/>
      <c r="S832" s="7"/>
      <c r="T832" s="4"/>
      <c r="U832" s="4"/>
      <c r="V832" s="4"/>
      <c r="W832" s="4"/>
      <c r="X832" s="4"/>
      <c r="Y832" s="4"/>
      <c r="Z832" s="4"/>
    </row>
    <row r="833" ht="12.75" customHeight="1">
      <c r="A833" s="14"/>
      <c r="B833" s="21"/>
      <c r="C833" s="21"/>
      <c r="D833" s="14"/>
      <c r="E833" s="32"/>
      <c r="F833" s="32"/>
      <c r="G833" s="2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7"/>
      <c r="S833" s="7"/>
      <c r="T833" s="4"/>
      <c r="U833" s="4"/>
      <c r="V833" s="4"/>
      <c r="W833" s="4"/>
      <c r="X833" s="4"/>
      <c r="Y833" s="4"/>
      <c r="Z833" s="4"/>
    </row>
    <row r="834" ht="12.75" customHeight="1">
      <c r="A834" s="14"/>
      <c r="B834" s="21"/>
      <c r="C834" s="21"/>
      <c r="D834" s="14"/>
      <c r="E834" s="32"/>
      <c r="F834" s="32"/>
      <c r="G834" s="2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7"/>
      <c r="S834" s="7"/>
      <c r="T834" s="4"/>
      <c r="U834" s="4"/>
      <c r="V834" s="4"/>
      <c r="W834" s="4"/>
      <c r="X834" s="4"/>
      <c r="Y834" s="4"/>
      <c r="Z834" s="4"/>
    </row>
    <row r="835" ht="12.75" customHeight="1">
      <c r="A835" s="14"/>
      <c r="B835" s="21"/>
      <c r="C835" s="21"/>
      <c r="D835" s="14"/>
      <c r="E835" s="32"/>
      <c r="F835" s="32"/>
      <c r="G835" s="2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7"/>
      <c r="S835" s="7"/>
      <c r="T835" s="4"/>
      <c r="U835" s="4"/>
      <c r="V835" s="4"/>
      <c r="W835" s="4"/>
      <c r="X835" s="4"/>
      <c r="Y835" s="4"/>
      <c r="Z835" s="4"/>
    </row>
    <row r="836" ht="12.75" customHeight="1">
      <c r="A836" s="14"/>
      <c r="B836" s="21"/>
      <c r="C836" s="21"/>
      <c r="D836" s="14"/>
      <c r="E836" s="32"/>
      <c r="F836" s="32"/>
      <c r="G836" s="2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7"/>
      <c r="S836" s="7"/>
      <c r="T836" s="4"/>
      <c r="U836" s="4"/>
      <c r="V836" s="4"/>
      <c r="W836" s="4"/>
      <c r="X836" s="4"/>
      <c r="Y836" s="4"/>
      <c r="Z836" s="4"/>
    </row>
    <row r="837" ht="12.75" customHeight="1">
      <c r="A837" s="14"/>
      <c r="B837" s="21"/>
      <c r="C837" s="21"/>
      <c r="D837" s="14"/>
      <c r="E837" s="32"/>
      <c r="F837" s="32"/>
      <c r="G837" s="2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7"/>
      <c r="S837" s="7"/>
      <c r="T837" s="4"/>
      <c r="U837" s="4"/>
      <c r="V837" s="4"/>
      <c r="W837" s="4"/>
      <c r="X837" s="4"/>
      <c r="Y837" s="4"/>
      <c r="Z837" s="4"/>
    </row>
    <row r="838" ht="12.75" customHeight="1">
      <c r="A838" s="14"/>
      <c r="B838" s="21"/>
      <c r="C838" s="21"/>
      <c r="D838" s="14"/>
      <c r="E838" s="32"/>
      <c r="F838" s="32"/>
      <c r="G838" s="2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7"/>
      <c r="S838" s="7"/>
      <c r="T838" s="4"/>
      <c r="U838" s="4"/>
      <c r="V838" s="4"/>
      <c r="W838" s="4"/>
      <c r="X838" s="4"/>
      <c r="Y838" s="4"/>
      <c r="Z838" s="4"/>
    </row>
    <row r="839" ht="12.75" customHeight="1">
      <c r="A839" s="14"/>
      <c r="B839" s="21"/>
      <c r="C839" s="21"/>
      <c r="D839" s="14"/>
      <c r="E839" s="32"/>
      <c r="F839" s="32"/>
      <c r="G839" s="2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7"/>
      <c r="S839" s="7"/>
      <c r="T839" s="4"/>
      <c r="U839" s="4"/>
      <c r="V839" s="4"/>
      <c r="W839" s="4"/>
      <c r="X839" s="4"/>
      <c r="Y839" s="4"/>
      <c r="Z839" s="4"/>
    </row>
    <row r="840" ht="12.75" customHeight="1">
      <c r="A840" s="14"/>
      <c r="B840" s="21"/>
      <c r="C840" s="21"/>
      <c r="D840" s="14"/>
      <c r="E840" s="32"/>
      <c r="F840" s="32"/>
      <c r="G840" s="2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7"/>
      <c r="S840" s="7"/>
      <c r="T840" s="4"/>
      <c r="U840" s="4"/>
      <c r="V840" s="4"/>
      <c r="W840" s="4"/>
      <c r="X840" s="4"/>
      <c r="Y840" s="4"/>
      <c r="Z840" s="4"/>
    </row>
    <row r="841" ht="12.75" customHeight="1">
      <c r="A841" s="14"/>
      <c r="B841" s="21"/>
      <c r="C841" s="21"/>
      <c r="D841" s="14"/>
      <c r="E841" s="32"/>
      <c r="F841" s="32"/>
      <c r="G841" s="2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7"/>
      <c r="S841" s="7"/>
      <c r="T841" s="4"/>
      <c r="U841" s="4"/>
      <c r="V841" s="4"/>
      <c r="W841" s="4"/>
      <c r="X841" s="4"/>
      <c r="Y841" s="4"/>
      <c r="Z841" s="4"/>
    </row>
    <row r="842" ht="12.75" customHeight="1">
      <c r="A842" s="14"/>
      <c r="B842" s="21"/>
      <c r="C842" s="21"/>
      <c r="D842" s="14"/>
      <c r="E842" s="32"/>
      <c r="F842" s="32"/>
      <c r="G842" s="2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7"/>
      <c r="S842" s="7"/>
      <c r="T842" s="4"/>
      <c r="U842" s="4"/>
      <c r="V842" s="4"/>
      <c r="W842" s="4"/>
      <c r="X842" s="4"/>
      <c r="Y842" s="4"/>
      <c r="Z842" s="4"/>
    </row>
    <row r="843" ht="12.75" customHeight="1">
      <c r="A843" s="14"/>
      <c r="B843" s="21"/>
      <c r="C843" s="21"/>
      <c r="D843" s="14"/>
      <c r="E843" s="32"/>
      <c r="F843" s="32"/>
      <c r="G843" s="2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7"/>
      <c r="S843" s="7"/>
      <c r="T843" s="4"/>
      <c r="U843" s="4"/>
      <c r="V843" s="4"/>
      <c r="W843" s="4"/>
      <c r="X843" s="4"/>
      <c r="Y843" s="4"/>
      <c r="Z843" s="4"/>
    </row>
    <row r="844" ht="12.75" customHeight="1">
      <c r="A844" s="14"/>
      <c r="B844" s="21"/>
      <c r="C844" s="21"/>
      <c r="D844" s="14"/>
      <c r="E844" s="32"/>
      <c r="F844" s="32"/>
      <c r="G844" s="2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7"/>
      <c r="S844" s="7"/>
      <c r="T844" s="4"/>
      <c r="U844" s="4"/>
      <c r="V844" s="4"/>
      <c r="W844" s="4"/>
      <c r="X844" s="4"/>
      <c r="Y844" s="4"/>
      <c r="Z844" s="4"/>
    </row>
    <row r="845" ht="12.75" customHeight="1">
      <c r="A845" s="14"/>
      <c r="B845" s="21"/>
      <c r="C845" s="21"/>
      <c r="D845" s="14"/>
      <c r="E845" s="32"/>
      <c r="F845" s="32"/>
      <c r="G845" s="2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7"/>
      <c r="S845" s="7"/>
      <c r="T845" s="4"/>
      <c r="U845" s="4"/>
      <c r="V845" s="4"/>
      <c r="W845" s="4"/>
      <c r="X845" s="4"/>
      <c r="Y845" s="4"/>
      <c r="Z845" s="4"/>
    </row>
    <row r="846" ht="12.75" customHeight="1">
      <c r="A846" s="14"/>
      <c r="B846" s="21"/>
      <c r="C846" s="21"/>
      <c r="D846" s="14"/>
      <c r="E846" s="32"/>
      <c r="F846" s="32"/>
      <c r="G846" s="2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7"/>
      <c r="S846" s="7"/>
      <c r="T846" s="4"/>
      <c r="U846" s="4"/>
      <c r="V846" s="4"/>
      <c r="W846" s="4"/>
      <c r="X846" s="4"/>
      <c r="Y846" s="4"/>
      <c r="Z846" s="4"/>
    </row>
    <row r="847" ht="12.75" customHeight="1">
      <c r="A847" s="14"/>
      <c r="B847" s="21"/>
      <c r="C847" s="21"/>
      <c r="D847" s="14"/>
      <c r="E847" s="32"/>
      <c r="F847" s="32"/>
      <c r="G847" s="2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7"/>
      <c r="S847" s="7"/>
      <c r="T847" s="4"/>
      <c r="U847" s="4"/>
      <c r="V847" s="4"/>
      <c r="W847" s="4"/>
      <c r="X847" s="4"/>
      <c r="Y847" s="4"/>
      <c r="Z847" s="4"/>
    </row>
    <row r="848" ht="12.75" customHeight="1">
      <c r="A848" s="14"/>
      <c r="B848" s="21"/>
      <c r="C848" s="21"/>
      <c r="D848" s="14"/>
      <c r="E848" s="32"/>
      <c r="F848" s="32"/>
      <c r="G848" s="2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7"/>
      <c r="S848" s="7"/>
      <c r="T848" s="4"/>
      <c r="U848" s="4"/>
      <c r="V848" s="4"/>
      <c r="W848" s="4"/>
      <c r="X848" s="4"/>
      <c r="Y848" s="4"/>
      <c r="Z848" s="4"/>
    </row>
    <row r="849" ht="12.75" customHeight="1">
      <c r="A849" s="14"/>
      <c r="B849" s="21"/>
      <c r="C849" s="21"/>
      <c r="D849" s="14"/>
      <c r="E849" s="32"/>
      <c r="F849" s="32"/>
      <c r="G849" s="2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7"/>
      <c r="S849" s="7"/>
      <c r="T849" s="4"/>
      <c r="U849" s="4"/>
      <c r="V849" s="4"/>
      <c r="W849" s="4"/>
      <c r="X849" s="4"/>
      <c r="Y849" s="4"/>
      <c r="Z849" s="4"/>
    </row>
    <row r="850" ht="12.75" customHeight="1">
      <c r="A850" s="14"/>
      <c r="B850" s="21"/>
      <c r="C850" s="21"/>
      <c r="D850" s="14"/>
      <c r="E850" s="32"/>
      <c r="F850" s="32"/>
      <c r="G850" s="2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7"/>
      <c r="S850" s="7"/>
      <c r="T850" s="4"/>
      <c r="U850" s="4"/>
      <c r="V850" s="4"/>
      <c r="W850" s="4"/>
      <c r="X850" s="4"/>
      <c r="Y850" s="4"/>
      <c r="Z850" s="4"/>
    </row>
    <row r="851" ht="12.75" customHeight="1">
      <c r="A851" s="14"/>
      <c r="B851" s="21"/>
      <c r="C851" s="21"/>
      <c r="D851" s="14"/>
      <c r="E851" s="32"/>
      <c r="F851" s="32"/>
      <c r="G851" s="2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7"/>
      <c r="S851" s="7"/>
      <c r="T851" s="4"/>
      <c r="U851" s="4"/>
      <c r="V851" s="4"/>
      <c r="W851" s="4"/>
      <c r="X851" s="4"/>
      <c r="Y851" s="4"/>
      <c r="Z851" s="4"/>
    </row>
    <row r="852" ht="12.75" customHeight="1">
      <c r="A852" s="14"/>
      <c r="B852" s="21"/>
      <c r="C852" s="21"/>
      <c r="D852" s="14"/>
      <c r="E852" s="32"/>
      <c r="F852" s="32"/>
      <c r="G852" s="2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7"/>
      <c r="S852" s="7"/>
      <c r="T852" s="4"/>
      <c r="U852" s="4"/>
      <c r="V852" s="4"/>
      <c r="W852" s="4"/>
      <c r="X852" s="4"/>
      <c r="Y852" s="4"/>
      <c r="Z852" s="4"/>
    </row>
    <row r="853" ht="12.75" customHeight="1">
      <c r="A853" s="14"/>
      <c r="B853" s="21"/>
      <c r="C853" s="21"/>
      <c r="D853" s="14"/>
      <c r="E853" s="32"/>
      <c r="F853" s="32"/>
      <c r="G853" s="2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7"/>
      <c r="S853" s="7"/>
      <c r="T853" s="4"/>
      <c r="U853" s="4"/>
      <c r="V853" s="4"/>
      <c r="W853" s="4"/>
      <c r="X853" s="4"/>
      <c r="Y853" s="4"/>
      <c r="Z853" s="4"/>
    </row>
    <row r="854" ht="12.75" customHeight="1">
      <c r="A854" s="14"/>
      <c r="B854" s="21"/>
      <c r="C854" s="21"/>
      <c r="D854" s="14"/>
      <c r="E854" s="32"/>
      <c r="F854" s="32"/>
      <c r="G854" s="2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7"/>
      <c r="S854" s="7"/>
      <c r="T854" s="4"/>
      <c r="U854" s="4"/>
      <c r="V854" s="4"/>
      <c r="W854" s="4"/>
      <c r="X854" s="4"/>
      <c r="Y854" s="4"/>
      <c r="Z854" s="4"/>
    </row>
    <row r="855" ht="12.75" customHeight="1">
      <c r="A855" s="14"/>
      <c r="B855" s="21"/>
      <c r="C855" s="21"/>
      <c r="D855" s="14"/>
      <c r="E855" s="32"/>
      <c r="F855" s="32"/>
      <c r="G855" s="2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7"/>
      <c r="S855" s="7"/>
      <c r="T855" s="4"/>
      <c r="U855" s="4"/>
      <c r="V855" s="4"/>
      <c r="W855" s="4"/>
      <c r="X855" s="4"/>
      <c r="Y855" s="4"/>
      <c r="Z855" s="4"/>
    </row>
    <row r="856" ht="12.75" customHeight="1">
      <c r="A856" s="14"/>
      <c r="B856" s="21"/>
      <c r="C856" s="21"/>
      <c r="D856" s="14"/>
      <c r="E856" s="32"/>
      <c r="F856" s="32"/>
      <c r="G856" s="2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7"/>
      <c r="S856" s="7"/>
      <c r="T856" s="4"/>
      <c r="U856" s="4"/>
      <c r="V856" s="4"/>
      <c r="W856" s="4"/>
      <c r="X856" s="4"/>
      <c r="Y856" s="4"/>
      <c r="Z856" s="4"/>
    </row>
    <row r="857" ht="12.75" customHeight="1">
      <c r="A857" s="14"/>
      <c r="B857" s="21"/>
      <c r="C857" s="21"/>
      <c r="D857" s="14"/>
      <c r="E857" s="32"/>
      <c r="F857" s="32"/>
      <c r="G857" s="2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7"/>
      <c r="S857" s="7"/>
      <c r="T857" s="4"/>
      <c r="U857" s="4"/>
      <c r="V857" s="4"/>
      <c r="W857" s="4"/>
      <c r="X857" s="4"/>
      <c r="Y857" s="4"/>
      <c r="Z857" s="4"/>
    </row>
    <row r="858" ht="12.75" customHeight="1">
      <c r="A858" s="14"/>
      <c r="B858" s="21"/>
      <c r="C858" s="21"/>
      <c r="D858" s="14"/>
      <c r="E858" s="32"/>
      <c r="F858" s="32"/>
      <c r="G858" s="2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7"/>
      <c r="S858" s="7"/>
      <c r="T858" s="4"/>
      <c r="U858" s="4"/>
      <c r="V858" s="4"/>
      <c r="W858" s="4"/>
      <c r="X858" s="4"/>
      <c r="Y858" s="4"/>
      <c r="Z858" s="4"/>
    </row>
    <row r="859" ht="12.75" customHeight="1">
      <c r="A859" s="14"/>
      <c r="B859" s="21"/>
      <c r="C859" s="21"/>
      <c r="D859" s="14"/>
      <c r="E859" s="32"/>
      <c r="F859" s="32"/>
      <c r="G859" s="2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7"/>
      <c r="S859" s="7"/>
      <c r="T859" s="4"/>
      <c r="U859" s="4"/>
      <c r="V859" s="4"/>
      <c r="W859" s="4"/>
      <c r="X859" s="4"/>
      <c r="Y859" s="4"/>
      <c r="Z859" s="4"/>
    </row>
    <row r="860" ht="12.75" customHeight="1">
      <c r="A860" s="14"/>
      <c r="B860" s="21"/>
      <c r="C860" s="21"/>
      <c r="D860" s="14"/>
      <c r="E860" s="32"/>
      <c r="F860" s="32"/>
      <c r="G860" s="2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7"/>
      <c r="S860" s="7"/>
      <c r="T860" s="4"/>
      <c r="U860" s="4"/>
      <c r="V860" s="4"/>
      <c r="W860" s="4"/>
      <c r="X860" s="4"/>
      <c r="Y860" s="4"/>
      <c r="Z860" s="4"/>
    </row>
    <row r="861" ht="12.75" customHeight="1">
      <c r="A861" s="14"/>
      <c r="B861" s="21"/>
      <c r="C861" s="21"/>
      <c r="D861" s="14"/>
      <c r="E861" s="32"/>
      <c r="F861" s="32"/>
      <c r="G861" s="2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7"/>
      <c r="S861" s="7"/>
      <c r="T861" s="4"/>
      <c r="U861" s="4"/>
      <c r="V861" s="4"/>
      <c r="W861" s="4"/>
      <c r="X861" s="4"/>
      <c r="Y861" s="4"/>
      <c r="Z861" s="4"/>
    </row>
    <row r="862" ht="12.75" customHeight="1">
      <c r="A862" s="14"/>
      <c r="B862" s="21"/>
      <c r="C862" s="21"/>
      <c r="D862" s="14"/>
      <c r="E862" s="32"/>
      <c r="F862" s="32"/>
      <c r="G862" s="2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7"/>
      <c r="S862" s="7"/>
      <c r="T862" s="4"/>
      <c r="U862" s="4"/>
      <c r="V862" s="4"/>
      <c r="W862" s="4"/>
      <c r="X862" s="4"/>
      <c r="Y862" s="4"/>
      <c r="Z862" s="4"/>
    </row>
    <row r="863" ht="12.75" customHeight="1">
      <c r="A863" s="14"/>
      <c r="B863" s="21"/>
      <c r="C863" s="21"/>
      <c r="D863" s="14"/>
      <c r="E863" s="32"/>
      <c r="F863" s="32"/>
      <c r="G863" s="2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7"/>
      <c r="S863" s="7"/>
      <c r="T863" s="4"/>
      <c r="U863" s="4"/>
      <c r="V863" s="4"/>
      <c r="W863" s="4"/>
      <c r="X863" s="4"/>
      <c r="Y863" s="4"/>
      <c r="Z863" s="4"/>
    </row>
    <row r="864" ht="12.75" customHeight="1">
      <c r="A864" s="14"/>
      <c r="B864" s="21"/>
      <c r="C864" s="21"/>
      <c r="D864" s="14"/>
      <c r="E864" s="32"/>
      <c r="F864" s="32"/>
      <c r="G864" s="2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7"/>
      <c r="S864" s="7"/>
      <c r="T864" s="4"/>
      <c r="U864" s="4"/>
      <c r="V864" s="4"/>
      <c r="W864" s="4"/>
      <c r="X864" s="4"/>
      <c r="Y864" s="4"/>
      <c r="Z864" s="4"/>
    </row>
    <row r="865" ht="12.75" customHeight="1">
      <c r="A865" s="14"/>
      <c r="B865" s="21"/>
      <c r="C865" s="21"/>
      <c r="D865" s="14"/>
      <c r="E865" s="32"/>
      <c r="F865" s="32"/>
      <c r="G865" s="2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7"/>
      <c r="S865" s="7"/>
      <c r="T865" s="4"/>
      <c r="U865" s="4"/>
      <c r="V865" s="4"/>
      <c r="W865" s="4"/>
      <c r="X865" s="4"/>
      <c r="Y865" s="4"/>
      <c r="Z865" s="4"/>
    </row>
    <row r="866" ht="12.75" customHeight="1">
      <c r="A866" s="14"/>
      <c r="B866" s="21"/>
      <c r="C866" s="21"/>
      <c r="D866" s="14"/>
      <c r="E866" s="32"/>
      <c r="F866" s="32"/>
      <c r="G866" s="2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7"/>
      <c r="S866" s="7"/>
      <c r="T866" s="4"/>
      <c r="U866" s="4"/>
      <c r="V866" s="4"/>
      <c r="W866" s="4"/>
      <c r="X866" s="4"/>
      <c r="Y866" s="4"/>
      <c r="Z866" s="4"/>
    </row>
    <row r="867" ht="12.75" customHeight="1">
      <c r="A867" s="14"/>
      <c r="B867" s="21"/>
      <c r="C867" s="21"/>
      <c r="D867" s="14"/>
      <c r="E867" s="32"/>
      <c r="F867" s="32"/>
      <c r="G867" s="2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7"/>
      <c r="S867" s="7"/>
      <c r="T867" s="4"/>
      <c r="U867" s="4"/>
      <c r="V867" s="4"/>
      <c r="W867" s="4"/>
      <c r="X867" s="4"/>
      <c r="Y867" s="4"/>
      <c r="Z867" s="4"/>
    </row>
    <row r="868" ht="12.75" customHeight="1">
      <c r="A868" s="14"/>
      <c r="B868" s="21"/>
      <c r="C868" s="21"/>
      <c r="D868" s="14"/>
      <c r="E868" s="32"/>
      <c r="F868" s="32"/>
      <c r="G868" s="2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7"/>
      <c r="S868" s="7"/>
      <c r="T868" s="4"/>
      <c r="U868" s="4"/>
      <c r="V868" s="4"/>
      <c r="W868" s="4"/>
      <c r="X868" s="4"/>
      <c r="Y868" s="4"/>
      <c r="Z868" s="4"/>
    </row>
    <row r="869" ht="12.75" customHeight="1">
      <c r="A869" s="14"/>
      <c r="B869" s="21"/>
      <c r="C869" s="21"/>
      <c r="D869" s="14"/>
      <c r="E869" s="32"/>
      <c r="F869" s="32"/>
      <c r="G869" s="2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7"/>
      <c r="S869" s="7"/>
      <c r="T869" s="4"/>
      <c r="U869" s="4"/>
      <c r="V869" s="4"/>
      <c r="W869" s="4"/>
      <c r="X869" s="4"/>
      <c r="Y869" s="4"/>
      <c r="Z869" s="4"/>
    </row>
    <row r="870" ht="12.75" customHeight="1">
      <c r="A870" s="14"/>
      <c r="B870" s="21"/>
      <c r="C870" s="21"/>
      <c r="D870" s="14"/>
      <c r="E870" s="32"/>
      <c r="F870" s="32"/>
      <c r="G870" s="2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7"/>
      <c r="S870" s="7"/>
      <c r="T870" s="4"/>
      <c r="U870" s="4"/>
      <c r="V870" s="4"/>
      <c r="W870" s="4"/>
      <c r="X870" s="4"/>
      <c r="Y870" s="4"/>
      <c r="Z870" s="4"/>
    </row>
    <row r="871" ht="12.75" customHeight="1">
      <c r="A871" s="14"/>
      <c r="B871" s="21"/>
      <c r="C871" s="21"/>
      <c r="D871" s="14"/>
      <c r="E871" s="32"/>
      <c r="F871" s="32"/>
      <c r="G871" s="2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7"/>
      <c r="S871" s="7"/>
      <c r="T871" s="4"/>
      <c r="U871" s="4"/>
      <c r="V871" s="4"/>
      <c r="W871" s="4"/>
      <c r="X871" s="4"/>
      <c r="Y871" s="4"/>
      <c r="Z871" s="4"/>
    </row>
    <row r="872" ht="12.75" customHeight="1">
      <c r="A872" s="14"/>
      <c r="B872" s="21"/>
      <c r="C872" s="21"/>
      <c r="D872" s="14"/>
      <c r="E872" s="32"/>
      <c r="F872" s="32"/>
      <c r="G872" s="2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7"/>
      <c r="S872" s="7"/>
      <c r="T872" s="4"/>
      <c r="U872" s="4"/>
      <c r="V872" s="4"/>
      <c r="W872" s="4"/>
      <c r="X872" s="4"/>
      <c r="Y872" s="4"/>
      <c r="Z872" s="4"/>
    </row>
    <row r="873" ht="12.75" customHeight="1">
      <c r="A873" s="14"/>
      <c r="B873" s="21"/>
      <c r="C873" s="21"/>
      <c r="D873" s="14"/>
      <c r="E873" s="32"/>
      <c r="F873" s="32"/>
      <c r="G873" s="2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7"/>
      <c r="S873" s="7"/>
      <c r="T873" s="4"/>
      <c r="U873" s="4"/>
      <c r="V873" s="4"/>
      <c r="W873" s="4"/>
      <c r="X873" s="4"/>
      <c r="Y873" s="4"/>
      <c r="Z873" s="4"/>
    </row>
    <row r="874" ht="12.75" customHeight="1">
      <c r="A874" s="14"/>
      <c r="B874" s="21"/>
      <c r="C874" s="21"/>
      <c r="D874" s="14"/>
      <c r="E874" s="32"/>
      <c r="F874" s="32"/>
      <c r="G874" s="2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7"/>
      <c r="S874" s="7"/>
      <c r="T874" s="4"/>
      <c r="U874" s="4"/>
      <c r="V874" s="4"/>
      <c r="W874" s="4"/>
      <c r="X874" s="4"/>
      <c r="Y874" s="4"/>
      <c r="Z874" s="4"/>
    </row>
    <row r="875" ht="12.75" customHeight="1">
      <c r="A875" s="14"/>
      <c r="B875" s="21"/>
      <c r="C875" s="21"/>
      <c r="D875" s="14"/>
      <c r="E875" s="32"/>
      <c r="F875" s="32"/>
      <c r="G875" s="2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7"/>
      <c r="S875" s="7"/>
      <c r="T875" s="4"/>
      <c r="U875" s="4"/>
      <c r="V875" s="4"/>
      <c r="W875" s="4"/>
      <c r="X875" s="4"/>
      <c r="Y875" s="4"/>
      <c r="Z875" s="4"/>
    </row>
    <row r="876" ht="12.75" customHeight="1">
      <c r="A876" s="14"/>
      <c r="B876" s="21"/>
      <c r="C876" s="21"/>
      <c r="D876" s="14"/>
      <c r="E876" s="32"/>
      <c r="F876" s="32"/>
      <c r="G876" s="2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7"/>
      <c r="S876" s="7"/>
      <c r="T876" s="4"/>
      <c r="U876" s="4"/>
      <c r="V876" s="4"/>
      <c r="W876" s="4"/>
      <c r="X876" s="4"/>
      <c r="Y876" s="4"/>
      <c r="Z876" s="4"/>
    </row>
    <row r="877" ht="12.75" customHeight="1">
      <c r="A877" s="14"/>
      <c r="B877" s="21"/>
      <c r="C877" s="21"/>
      <c r="D877" s="14"/>
      <c r="E877" s="32"/>
      <c r="F877" s="32"/>
      <c r="G877" s="2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7"/>
      <c r="S877" s="7"/>
      <c r="T877" s="4"/>
      <c r="U877" s="4"/>
      <c r="V877" s="4"/>
      <c r="W877" s="4"/>
      <c r="X877" s="4"/>
      <c r="Y877" s="4"/>
      <c r="Z877" s="4"/>
    </row>
    <row r="878" ht="12.75" customHeight="1">
      <c r="A878" s="14"/>
      <c r="B878" s="21"/>
      <c r="C878" s="21"/>
      <c r="D878" s="14"/>
      <c r="E878" s="32"/>
      <c r="F878" s="32"/>
      <c r="G878" s="2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7"/>
      <c r="S878" s="7"/>
      <c r="T878" s="4"/>
      <c r="U878" s="4"/>
      <c r="V878" s="4"/>
      <c r="W878" s="4"/>
      <c r="X878" s="4"/>
      <c r="Y878" s="4"/>
      <c r="Z878" s="4"/>
    </row>
    <row r="879" ht="12.75" customHeight="1">
      <c r="A879" s="14"/>
      <c r="B879" s="21"/>
      <c r="C879" s="21"/>
      <c r="D879" s="14"/>
      <c r="E879" s="32"/>
      <c r="F879" s="32"/>
      <c r="G879" s="2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7"/>
      <c r="S879" s="7"/>
      <c r="T879" s="4"/>
      <c r="U879" s="4"/>
      <c r="V879" s="4"/>
      <c r="W879" s="4"/>
      <c r="X879" s="4"/>
      <c r="Y879" s="4"/>
      <c r="Z879" s="4"/>
    </row>
    <row r="880" ht="12.75" customHeight="1">
      <c r="A880" s="14"/>
      <c r="B880" s="21"/>
      <c r="C880" s="21"/>
      <c r="D880" s="14"/>
      <c r="E880" s="32"/>
      <c r="F880" s="32"/>
      <c r="G880" s="2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7"/>
      <c r="S880" s="7"/>
      <c r="T880" s="4"/>
      <c r="U880" s="4"/>
      <c r="V880" s="4"/>
      <c r="W880" s="4"/>
      <c r="X880" s="4"/>
      <c r="Y880" s="4"/>
      <c r="Z880" s="4"/>
    </row>
    <row r="881" ht="12.75" customHeight="1">
      <c r="A881" s="14"/>
      <c r="B881" s="21"/>
      <c r="C881" s="21"/>
      <c r="D881" s="14"/>
      <c r="E881" s="32"/>
      <c r="F881" s="32"/>
      <c r="G881" s="2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7"/>
      <c r="S881" s="7"/>
      <c r="T881" s="4"/>
      <c r="U881" s="4"/>
      <c r="V881" s="4"/>
      <c r="W881" s="4"/>
      <c r="X881" s="4"/>
      <c r="Y881" s="4"/>
      <c r="Z881" s="4"/>
    </row>
    <row r="882" ht="12.75" customHeight="1">
      <c r="A882" s="14"/>
      <c r="B882" s="21"/>
      <c r="C882" s="21"/>
      <c r="D882" s="14"/>
      <c r="E882" s="32"/>
      <c r="F882" s="32"/>
      <c r="G882" s="2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7"/>
      <c r="S882" s="7"/>
      <c r="T882" s="4"/>
      <c r="U882" s="4"/>
      <c r="V882" s="4"/>
      <c r="W882" s="4"/>
      <c r="X882" s="4"/>
      <c r="Y882" s="4"/>
      <c r="Z882" s="4"/>
    </row>
    <row r="883" ht="12.75" customHeight="1">
      <c r="A883" s="14"/>
      <c r="B883" s="21"/>
      <c r="C883" s="21"/>
      <c r="D883" s="14"/>
      <c r="E883" s="32"/>
      <c r="F883" s="32"/>
      <c r="G883" s="2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7"/>
      <c r="S883" s="7"/>
      <c r="T883" s="4"/>
      <c r="U883" s="4"/>
      <c r="V883" s="4"/>
      <c r="W883" s="4"/>
      <c r="X883" s="4"/>
      <c r="Y883" s="4"/>
      <c r="Z883" s="4"/>
    </row>
    <row r="884" ht="12.75" customHeight="1">
      <c r="A884" s="14"/>
      <c r="B884" s="21"/>
      <c r="C884" s="21"/>
      <c r="D884" s="14"/>
      <c r="E884" s="32"/>
      <c r="F884" s="32"/>
      <c r="G884" s="2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7"/>
      <c r="S884" s="7"/>
      <c r="T884" s="4"/>
      <c r="U884" s="4"/>
      <c r="V884" s="4"/>
      <c r="W884" s="4"/>
      <c r="X884" s="4"/>
      <c r="Y884" s="4"/>
      <c r="Z884" s="4"/>
    </row>
    <row r="885" ht="12.75" customHeight="1">
      <c r="A885" s="14"/>
      <c r="B885" s="21"/>
      <c r="C885" s="21"/>
      <c r="D885" s="14"/>
      <c r="E885" s="32"/>
      <c r="F885" s="32"/>
      <c r="G885" s="2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7"/>
      <c r="S885" s="7"/>
      <c r="T885" s="4"/>
      <c r="U885" s="4"/>
      <c r="V885" s="4"/>
      <c r="W885" s="4"/>
      <c r="X885" s="4"/>
      <c r="Y885" s="4"/>
      <c r="Z885" s="4"/>
    </row>
    <row r="886" ht="12.75" customHeight="1">
      <c r="A886" s="14"/>
      <c r="B886" s="21"/>
      <c r="C886" s="21"/>
      <c r="D886" s="14"/>
      <c r="E886" s="32"/>
      <c r="F886" s="32"/>
      <c r="G886" s="2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7"/>
      <c r="S886" s="7"/>
      <c r="T886" s="4"/>
      <c r="U886" s="4"/>
      <c r="V886" s="4"/>
      <c r="W886" s="4"/>
      <c r="X886" s="4"/>
      <c r="Y886" s="4"/>
      <c r="Z886" s="4"/>
    </row>
    <row r="887" ht="12.75" customHeight="1">
      <c r="A887" s="14"/>
      <c r="B887" s="21"/>
      <c r="C887" s="21"/>
      <c r="D887" s="14"/>
      <c r="E887" s="32"/>
      <c r="F887" s="32"/>
      <c r="G887" s="2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7"/>
      <c r="S887" s="7"/>
      <c r="T887" s="4"/>
      <c r="U887" s="4"/>
      <c r="V887" s="4"/>
      <c r="W887" s="4"/>
      <c r="X887" s="4"/>
      <c r="Y887" s="4"/>
      <c r="Z887" s="4"/>
    </row>
    <row r="888" ht="12.75" customHeight="1">
      <c r="A888" s="14"/>
      <c r="B888" s="21"/>
      <c r="C888" s="21"/>
      <c r="D888" s="14"/>
      <c r="E888" s="32"/>
      <c r="F888" s="32"/>
      <c r="G888" s="2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7"/>
      <c r="S888" s="7"/>
      <c r="T888" s="4"/>
      <c r="U888" s="4"/>
      <c r="V888" s="4"/>
      <c r="W888" s="4"/>
      <c r="X888" s="4"/>
      <c r="Y888" s="4"/>
      <c r="Z888" s="4"/>
    </row>
    <row r="889" ht="12.75" customHeight="1">
      <c r="A889" s="14"/>
      <c r="B889" s="21"/>
      <c r="C889" s="21"/>
      <c r="D889" s="14"/>
      <c r="E889" s="32"/>
      <c r="F889" s="32"/>
      <c r="G889" s="2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7"/>
      <c r="S889" s="7"/>
      <c r="T889" s="4"/>
      <c r="U889" s="4"/>
      <c r="V889" s="4"/>
      <c r="W889" s="4"/>
      <c r="X889" s="4"/>
      <c r="Y889" s="4"/>
      <c r="Z889" s="4"/>
    </row>
    <row r="890" ht="12.75" customHeight="1">
      <c r="A890" s="14"/>
      <c r="B890" s="21"/>
      <c r="C890" s="21"/>
      <c r="D890" s="14"/>
      <c r="E890" s="32"/>
      <c r="F890" s="32"/>
      <c r="G890" s="2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7"/>
      <c r="S890" s="7"/>
      <c r="T890" s="4"/>
      <c r="U890" s="4"/>
      <c r="V890" s="4"/>
      <c r="W890" s="4"/>
      <c r="X890" s="4"/>
      <c r="Y890" s="4"/>
      <c r="Z890" s="4"/>
    </row>
    <row r="891" ht="12.75" customHeight="1">
      <c r="A891" s="14"/>
      <c r="B891" s="21"/>
      <c r="C891" s="21"/>
      <c r="D891" s="14"/>
      <c r="E891" s="32"/>
      <c r="F891" s="32"/>
      <c r="G891" s="2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7"/>
      <c r="S891" s="7"/>
      <c r="T891" s="4"/>
      <c r="U891" s="4"/>
      <c r="V891" s="4"/>
      <c r="W891" s="4"/>
      <c r="X891" s="4"/>
      <c r="Y891" s="4"/>
      <c r="Z891" s="4"/>
    </row>
    <row r="892" ht="12.75" customHeight="1">
      <c r="A892" s="14"/>
      <c r="B892" s="21"/>
      <c r="C892" s="21"/>
      <c r="D892" s="14"/>
      <c r="E892" s="32"/>
      <c r="F892" s="32"/>
      <c r="G892" s="2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7"/>
      <c r="S892" s="7"/>
      <c r="T892" s="4"/>
      <c r="U892" s="4"/>
      <c r="V892" s="4"/>
      <c r="W892" s="4"/>
      <c r="X892" s="4"/>
      <c r="Y892" s="4"/>
      <c r="Z892" s="4"/>
    </row>
    <row r="893" ht="12.75" customHeight="1">
      <c r="A893" s="14"/>
      <c r="B893" s="21"/>
      <c r="C893" s="21"/>
      <c r="D893" s="14"/>
      <c r="E893" s="32"/>
      <c r="F893" s="32"/>
      <c r="G893" s="2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7"/>
      <c r="S893" s="7"/>
      <c r="T893" s="4"/>
      <c r="U893" s="4"/>
      <c r="V893" s="4"/>
      <c r="W893" s="4"/>
      <c r="X893" s="4"/>
      <c r="Y893" s="4"/>
      <c r="Z893" s="4"/>
    </row>
    <row r="894" ht="12.75" customHeight="1">
      <c r="A894" s="14"/>
      <c r="B894" s="21"/>
      <c r="C894" s="21"/>
      <c r="D894" s="14"/>
      <c r="E894" s="32"/>
      <c r="F894" s="32"/>
      <c r="G894" s="2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7"/>
      <c r="S894" s="7"/>
      <c r="T894" s="4"/>
      <c r="U894" s="4"/>
      <c r="V894" s="4"/>
      <c r="W894" s="4"/>
      <c r="X894" s="4"/>
      <c r="Y894" s="4"/>
      <c r="Z894" s="4"/>
    </row>
    <row r="895" ht="12.75" customHeight="1">
      <c r="A895" s="14"/>
      <c r="B895" s="21"/>
      <c r="C895" s="21"/>
      <c r="D895" s="14"/>
      <c r="E895" s="32"/>
      <c r="F895" s="32"/>
      <c r="G895" s="2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7"/>
      <c r="S895" s="7"/>
      <c r="T895" s="4"/>
      <c r="U895" s="4"/>
      <c r="V895" s="4"/>
      <c r="W895" s="4"/>
      <c r="X895" s="4"/>
      <c r="Y895" s="4"/>
      <c r="Z895" s="4"/>
    </row>
    <row r="896" ht="12.75" customHeight="1">
      <c r="A896" s="14"/>
      <c r="B896" s="21"/>
      <c r="C896" s="21"/>
      <c r="D896" s="14"/>
      <c r="E896" s="32"/>
      <c r="F896" s="32"/>
      <c r="G896" s="2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7"/>
      <c r="S896" s="7"/>
      <c r="T896" s="4"/>
      <c r="U896" s="4"/>
      <c r="V896" s="4"/>
      <c r="W896" s="4"/>
      <c r="X896" s="4"/>
      <c r="Y896" s="4"/>
      <c r="Z896" s="4"/>
    </row>
    <row r="897" ht="12.75" customHeight="1">
      <c r="A897" s="14"/>
      <c r="B897" s="21"/>
      <c r="C897" s="21"/>
      <c r="D897" s="14"/>
      <c r="E897" s="32"/>
      <c r="F897" s="32"/>
      <c r="G897" s="2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7"/>
      <c r="S897" s="7"/>
      <c r="T897" s="4"/>
      <c r="U897" s="4"/>
      <c r="V897" s="4"/>
      <c r="W897" s="4"/>
      <c r="X897" s="4"/>
      <c r="Y897" s="4"/>
      <c r="Z897" s="4"/>
    </row>
    <row r="898" ht="12.75" customHeight="1">
      <c r="A898" s="14"/>
      <c r="B898" s="21"/>
      <c r="C898" s="21"/>
      <c r="D898" s="14"/>
      <c r="E898" s="32"/>
      <c r="F898" s="32"/>
      <c r="G898" s="2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7"/>
      <c r="S898" s="7"/>
      <c r="T898" s="4"/>
      <c r="U898" s="4"/>
      <c r="V898" s="4"/>
      <c r="W898" s="4"/>
      <c r="X898" s="4"/>
      <c r="Y898" s="4"/>
      <c r="Z898" s="4"/>
    </row>
    <row r="899" ht="12.75" customHeight="1">
      <c r="A899" s="14"/>
      <c r="B899" s="21"/>
      <c r="C899" s="21"/>
      <c r="D899" s="14"/>
      <c r="E899" s="32"/>
      <c r="F899" s="32"/>
      <c r="G899" s="2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7"/>
      <c r="S899" s="7"/>
      <c r="T899" s="4"/>
      <c r="U899" s="4"/>
      <c r="V899" s="4"/>
      <c r="W899" s="4"/>
      <c r="X899" s="4"/>
      <c r="Y899" s="4"/>
      <c r="Z899" s="4"/>
    </row>
    <row r="900" ht="12.75" customHeight="1">
      <c r="A900" s="14"/>
      <c r="B900" s="21"/>
      <c r="C900" s="21"/>
      <c r="D900" s="14"/>
      <c r="E900" s="32"/>
      <c r="F900" s="32"/>
      <c r="G900" s="2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7"/>
      <c r="S900" s="7"/>
      <c r="T900" s="4"/>
      <c r="U900" s="4"/>
      <c r="V900" s="4"/>
      <c r="W900" s="4"/>
      <c r="X900" s="4"/>
      <c r="Y900" s="4"/>
      <c r="Z900" s="4"/>
    </row>
    <row r="901" ht="12.75" customHeight="1">
      <c r="A901" s="14"/>
      <c r="B901" s="21"/>
      <c r="C901" s="21"/>
      <c r="D901" s="14"/>
      <c r="E901" s="32"/>
      <c r="F901" s="32"/>
      <c r="G901" s="2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7"/>
      <c r="S901" s="7"/>
      <c r="T901" s="4"/>
      <c r="U901" s="4"/>
      <c r="V901" s="4"/>
      <c r="W901" s="4"/>
      <c r="X901" s="4"/>
      <c r="Y901" s="4"/>
      <c r="Z901" s="4"/>
    </row>
    <row r="902" ht="12.75" customHeight="1">
      <c r="A902" s="14"/>
      <c r="B902" s="21"/>
      <c r="C902" s="21"/>
      <c r="D902" s="14"/>
      <c r="E902" s="32"/>
      <c r="F902" s="32"/>
      <c r="G902" s="2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7"/>
      <c r="S902" s="7"/>
      <c r="T902" s="4"/>
      <c r="U902" s="4"/>
      <c r="V902" s="4"/>
      <c r="W902" s="4"/>
      <c r="X902" s="4"/>
      <c r="Y902" s="4"/>
      <c r="Z902" s="4"/>
    </row>
    <row r="903" ht="12.75" customHeight="1">
      <c r="A903" s="14"/>
      <c r="B903" s="21"/>
      <c r="C903" s="21"/>
      <c r="D903" s="14"/>
      <c r="E903" s="32"/>
      <c r="F903" s="32"/>
      <c r="G903" s="2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7"/>
      <c r="S903" s="7"/>
      <c r="T903" s="4"/>
      <c r="U903" s="4"/>
      <c r="V903" s="4"/>
      <c r="W903" s="4"/>
      <c r="X903" s="4"/>
      <c r="Y903" s="4"/>
      <c r="Z903" s="4"/>
    </row>
    <row r="904" ht="12.75" customHeight="1">
      <c r="A904" s="14"/>
      <c r="B904" s="21"/>
      <c r="C904" s="21"/>
      <c r="D904" s="14"/>
      <c r="E904" s="32"/>
      <c r="F904" s="32"/>
      <c r="G904" s="2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7"/>
      <c r="S904" s="7"/>
      <c r="T904" s="4"/>
      <c r="U904" s="4"/>
      <c r="V904" s="4"/>
      <c r="W904" s="4"/>
      <c r="X904" s="4"/>
      <c r="Y904" s="4"/>
      <c r="Z904" s="4"/>
    </row>
    <row r="905" ht="12.75" customHeight="1">
      <c r="A905" s="14"/>
      <c r="B905" s="21"/>
      <c r="C905" s="21"/>
      <c r="D905" s="14"/>
      <c r="E905" s="32"/>
      <c r="F905" s="32"/>
      <c r="G905" s="2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7"/>
      <c r="S905" s="7"/>
      <c r="T905" s="4"/>
      <c r="U905" s="4"/>
      <c r="V905" s="4"/>
      <c r="W905" s="4"/>
      <c r="X905" s="4"/>
      <c r="Y905" s="4"/>
      <c r="Z905" s="4"/>
    </row>
    <row r="906" ht="12.75" customHeight="1">
      <c r="A906" s="14"/>
      <c r="B906" s="21"/>
      <c r="C906" s="21"/>
      <c r="D906" s="14"/>
      <c r="E906" s="32"/>
      <c r="F906" s="32"/>
      <c r="G906" s="2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7"/>
      <c r="S906" s="7"/>
      <c r="T906" s="4"/>
      <c r="U906" s="4"/>
      <c r="V906" s="4"/>
      <c r="W906" s="4"/>
      <c r="X906" s="4"/>
      <c r="Y906" s="4"/>
      <c r="Z906" s="4"/>
    </row>
    <row r="907" ht="12.75" customHeight="1">
      <c r="A907" s="14"/>
      <c r="B907" s="21"/>
      <c r="C907" s="21"/>
      <c r="D907" s="14"/>
      <c r="E907" s="32"/>
      <c r="F907" s="32"/>
      <c r="G907" s="2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7"/>
      <c r="S907" s="7"/>
      <c r="T907" s="4"/>
      <c r="U907" s="4"/>
      <c r="V907" s="4"/>
      <c r="W907" s="4"/>
      <c r="X907" s="4"/>
      <c r="Y907" s="4"/>
      <c r="Z907" s="4"/>
    </row>
    <row r="908" ht="12.75" customHeight="1">
      <c r="A908" s="14"/>
      <c r="B908" s="21"/>
      <c r="C908" s="21"/>
      <c r="D908" s="14"/>
      <c r="E908" s="32"/>
      <c r="F908" s="32"/>
      <c r="G908" s="2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7"/>
      <c r="S908" s="7"/>
      <c r="T908" s="4"/>
      <c r="U908" s="4"/>
      <c r="V908" s="4"/>
      <c r="W908" s="4"/>
      <c r="X908" s="4"/>
      <c r="Y908" s="4"/>
      <c r="Z908" s="4"/>
    </row>
    <row r="909" ht="12.75" customHeight="1">
      <c r="A909" s="14"/>
      <c r="B909" s="21"/>
      <c r="C909" s="21"/>
      <c r="D909" s="14"/>
      <c r="E909" s="32"/>
      <c r="F909" s="32"/>
      <c r="G909" s="2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7"/>
      <c r="S909" s="7"/>
      <c r="T909" s="4"/>
      <c r="U909" s="4"/>
      <c r="V909" s="4"/>
      <c r="W909" s="4"/>
      <c r="X909" s="4"/>
      <c r="Y909" s="4"/>
      <c r="Z909" s="4"/>
    </row>
    <row r="910" ht="12.75" customHeight="1">
      <c r="A910" s="14"/>
      <c r="B910" s="21"/>
      <c r="C910" s="21"/>
      <c r="D910" s="14"/>
      <c r="E910" s="32"/>
      <c r="F910" s="32"/>
      <c r="G910" s="2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7"/>
      <c r="S910" s="7"/>
      <c r="T910" s="4"/>
      <c r="U910" s="4"/>
      <c r="V910" s="4"/>
      <c r="W910" s="4"/>
      <c r="X910" s="4"/>
      <c r="Y910" s="4"/>
      <c r="Z910" s="4"/>
    </row>
    <row r="911" ht="12.75" customHeight="1">
      <c r="A911" s="14"/>
      <c r="B911" s="21"/>
      <c r="C911" s="21"/>
      <c r="D911" s="14"/>
      <c r="E911" s="32"/>
      <c r="F911" s="32"/>
      <c r="G911" s="2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7"/>
      <c r="S911" s="7"/>
      <c r="T911" s="4"/>
      <c r="U911" s="4"/>
      <c r="V911" s="4"/>
      <c r="W911" s="4"/>
      <c r="X911" s="4"/>
      <c r="Y911" s="4"/>
      <c r="Z911" s="4"/>
    </row>
    <row r="912" ht="12.75" customHeight="1">
      <c r="A912" s="14"/>
      <c r="B912" s="21"/>
      <c r="C912" s="21"/>
      <c r="D912" s="14"/>
      <c r="E912" s="32"/>
      <c r="F912" s="32"/>
      <c r="G912" s="2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7"/>
      <c r="S912" s="7"/>
      <c r="T912" s="4"/>
      <c r="U912" s="4"/>
      <c r="V912" s="4"/>
      <c r="W912" s="4"/>
      <c r="X912" s="4"/>
      <c r="Y912" s="4"/>
      <c r="Z912" s="4"/>
    </row>
    <row r="913" ht="12.75" customHeight="1">
      <c r="A913" s="14"/>
      <c r="B913" s="21"/>
      <c r="C913" s="21"/>
      <c r="D913" s="14"/>
      <c r="E913" s="32"/>
      <c r="F913" s="32"/>
      <c r="G913" s="2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7"/>
      <c r="S913" s="7"/>
      <c r="T913" s="4"/>
      <c r="U913" s="4"/>
      <c r="V913" s="4"/>
      <c r="W913" s="4"/>
      <c r="X913" s="4"/>
      <c r="Y913" s="4"/>
      <c r="Z913" s="4"/>
    </row>
    <row r="914" ht="12.75" customHeight="1">
      <c r="A914" s="14"/>
      <c r="B914" s="21"/>
      <c r="C914" s="21"/>
      <c r="D914" s="14"/>
      <c r="E914" s="32"/>
      <c r="F914" s="32"/>
      <c r="G914" s="2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7"/>
      <c r="S914" s="7"/>
      <c r="T914" s="4"/>
      <c r="U914" s="4"/>
      <c r="V914" s="4"/>
      <c r="W914" s="4"/>
      <c r="X914" s="4"/>
      <c r="Y914" s="4"/>
      <c r="Z914" s="4"/>
    </row>
    <row r="915" ht="12.75" customHeight="1">
      <c r="A915" s="14"/>
      <c r="B915" s="21"/>
      <c r="C915" s="21"/>
      <c r="D915" s="14"/>
      <c r="E915" s="32"/>
      <c r="F915" s="32"/>
      <c r="G915" s="2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7"/>
      <c r="S915" s="7"/>
      <c r="T915" s="4"/>
      <c r="U915" s="4"/>
      <c r="V915" s="4"/>
      <c r="W915" s="4"/>
      <c r="X915" s="4"/>
      <c r="Y915" s="4"/>
      <c r="Z915" s="4"/>
    </row>
    <row r="916" ht="12.75" customHeight="1">
      <c r="A916" s="14"/>
      <c r="B916" s="21"/>
      <c r="C916" s="21"/>
      <c r="D916" s="14"/>
      <c r="E916" s="32"/>
      <c r="F916" s="32"/>
      <c r="G916" s="2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7"/>
      <c r="S916" s="7"/>
      <c r="T916" s="4"/>
      <c r="U916" s="4"/>
      <c r="V916" s="4"/>
      <c r="W916" s="4"/>
      <c r="X916" s="4"/>
      <c r="Y916" s="4"/>
      <c r="Z916" s="4"/>
    </row>
    <row r="917" ht="12.75" customHeight="1">
      <c r="A917" s="14"/>
      <c r="B917" s="21"/>
      <c r="C917" s="21"/>
      <c r="D917" s="14"/>
      <c r="E917" s="32"/>
      <c r="F917" s="32"/>
      <c r="G917" s="2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7"/>
      <c r="S917" s="7"/>
      <c r="T917" s="4"/>
      <c r="U917" s="4"/>
      <c r="V917" s="4"/>
      <c r="W917" s="4"/>
      <c r="X917" s="4"/>
      <c r="Y917" s="4"/>
      <c r="Z917" s="4"/>
    </row>
    <row r="918" ht="12.75" customHeight="1">
      <c r="A918" s="14"/>
      <c r="B918" s="21"/>
      <c r="C918" s="21"/>
      <c r="D918" s="14"/>
      <c r="E918" s="32"/>
      <c r="F918" s="32"/>
      <c r="G918" s="2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7"/>
      <c r="S918" s="7"/>
      <c r="T918" s="4"/>
      <c r="U918" s="4"/>
      <c r="V918" s="4"/>
      <c r="W918" s="4"/>
      <c r="X918" s="4"/>
      <c r="Y918" s="4"/>
      <c r="Z918" s="4"/>
    </row>
    <row r="919" ht="12.75" customHeight="1">
      <c r="A919" s="14"/>
      <c r="B919" s="21"/>
      <c r="C919" s="21"/>
      <c r="D919" s="14"/>
      <c r="E919" s="32"/>
      <c r="F919" s="32"/>
      <c r="G919" s="2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7"/>
      <c r="S919" s="7"/>
      <c r="T919" s="4"/>
      <c r="U919" s="4"/>
      <c r="V919" s="4"/>
      <c r="W919" s="4"/>
      <c r="X919" s="4"/>
      <c r="Y919" s="4"/>
      <c r="Z919" s="4"/>
    </row>
    <row r="920" ht="12.75" customHeight="1">
      <c r="A920" s="14"/>
      <c r="B920" s="21"/>
      <c r="C920" s="21"/>
      <c r="D920" s="14"/>
      <c r="E920" s="32"/>
      <c r="F920" s="32"/>
      <c r="G920" s="2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7"/>
      <c r="S920" s="7"/>
      <c r="T920" s="4"/>
      <c r="U920" s="4"/>
      <c r="V920" s="4"/>
      <c r="W920" s="4"/>
      <c r="X920" s="4"/>
      <c r="Y920" s="4"/>
      <c r="Z920" s="4"/>
    </row>
    <row r="921" ht="12.75" customHeight="1">
      <c r="A921" s="14"/>
      <c r="B921" s="21"/>
      <c r="C921" s="21"/>
      <c r="D921" s="14"/>
      <c r="E921" s="32"/>
      <c r="F921" s="32"/>
      <c r="G921" s="2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7"/>
      <c r="S921" s="7"/>
      <c r="T921" s="4"/>
      <c r="U921" s="4"/>
      <c r="V921" s="4"/>
      <c r="W921" s="4"/>
      <c r="X921" s="4"/>
      <c r="Y921" s="4"/>
      <c r="Z921" s="4"/>
    </row>
    <row r="922" ht="12.75" customHeight="1">
      <c r="A922" s="14"/>
      <c r="B922" s="21"/>
      <c r="C922" s="21"/>
      <c r="D922" s="14"/>
      <c r="E922" s="32"/>
      <c r="F922" s="32"/>
      <c r="G922" s="2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7"/>
      <c r="S922" s="7"/>
      <c r="T922" s="4"/>
      <c r="U922" s="4"/>
      <c r="V922" s="4"/>
      <c r="W922" s="4"/>
      <c r="X922" s="4"/>
      <c r="Y922" s="4"/>
      <c r="Z922" s="4"/>
    </row>
    <row r="923" ht="12.75" customHeight="1">
      <c r="A923" s="14"/>
      <c r="B923" s="21"/>
      <c r="C923" s="21"/>
      <c r="D923" s="14"/>
      <c r="E923" s="32"/>
      <c r="F923" s="32"/>
      <c r="G923" s="2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7"/>
      <c r="S923" s="7"/>
      <c r="T923" s="4"/>
      <c r="U923" s="4"/>
      <c r="V923" s="4"/>
      <c r="W923" s="4"/>
      <c r="X923" s="4"/>
      <c r="Y923" s="4"/>
      <c r="Z923" s="4"/>
    </row>
    <row r="924" ht="12.75" customHeight="1">
      <c r="A924" s="14"/>
      <c r="B924" s="21"/>
      <c r="C924" s="21"/>
      <c r="D924" s="14"/>
      <c r="E924" s="32"/>
      <c r="F924" s="32"/>
      <c r="G924" s="2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7"/>
      <c r="S924" s="7"/>
      <c r="T924" s="4"/>
      <c r="U924" s="4"/>
      <c r="V924" s="4"/>
      <c r="W924" s="4"/>
      <c r="X924" s="4"/>
      <c r="Y924" s="4"/>
      <c r="Z924" s="4"/>
    </row>
    <row r="925" ht="12.75" customHeight="1">
      <c r="A925" s="14"/>
      <c r="B925" s="21"/>
      <c r="C925" s="21"/>
      <c r="D925" s="14"/>
      <c r="E925" s="32"/>
      <c r="F925" s="32"/>
      <c r="G925" s="2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7"/>
      <c r="S925" s="7"/>
      <c r="T925" s="4"/>
      <c r="U925" s="4"/>
      <c r="V925" s="4"/>
      <c r="W925" s="4"/>
      <c r="X925" s="4"/>
      <c r="Y925" s="4"/>
      <c r="Z925" s="4"/>
    </row>
    <row r="926" ht="12.75" customHeight="1">
      <c r="A926" s="14"/>
      <c r="B926" s="21"/>
      <c r="C926" s="21"/>
      <c r="D926" s="14"/>
      <c r="E926" s="32"/>
      <c r="F926" s="32"/>
      <c r="G926" s="2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7"/>
      <c r="S926" s="7"/>
      <c r="T926" s="4"/>
      <c r="U926" s="4"/>
      <c r="V926" s="4"/>
      <c r="W926" s="4"/>
      <c r="X926" s="4"/>
      <c r="Y926" s="4"/>
      <c r="Z926" s="4"/>
    </row>
    <row r="927" ht="12.75" customHeight="1">
      <c r="A927" s="14"/>
      <c r="B927" s="21"/>
      <c r="C927" s="21"/>
      <c r="D927" s="14"/>
      <c r="E927" s="32"/>
      <c r="F927" s="32"/>
      <c r="G927" s="2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7"/>
      <c r="S927" s="7"/>
      <c r="T927" s="4"/>
      <c r="U927" s="4"/>
      <c r="V927" s="4"/>
      <c r="W927" s="4"/>
      <c r="X927" s="4"/>
      <c r="Y927" s="4"/>
      <c r="Z927" s="4"/>
    </row>
    <row r="928" ht="12.75" customHeight="1">
      <c r="A928" s="14"/>
      <c r="B928" s="21"/>
      <c r="C928" s="21"/>
      <c r="D928" s="14"/>
      <c r="E928" s="32"/>
      <c r="F928" s="32"/>
      <c r="G928" s="2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7"/>
      <c r="S928" s="7"/>
      <c r="T928" s="4"/>
      <c r="U928" s="4"/>
      <c r="V928" s="4"/>
      <c r="W928" s="4"/>
      <c r="X928" s="4"/>
      <c r="Y928" s="4"/>
      <c r="Z928" s="4"/>
    </row>
    <row r="929" ht="12.75" customHeight="1">
      <c r="A929" s="14"/>
      <c r="B929" s="21"/>
      <c r="C929" s="21"/>
      <c r="D929" s="14"/>
      <c r="E929" s="32"/>
      <c r="F929" s="32"/>
      <c r="G929" s="2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7"/>
      <c r="S929" s="7"/>
      <c r="T929" s="4"/>
      <c r="U929" s="4"/>
      <c r="V929" s="4"/>
      <c r="W929" s="4"/>
      <c r="X929" s="4"/>
      <c r="Y929" s="4"/>
      <c r="Z929" s="4"/>
    </row>
    <row r="930" ht="12.75" customHeight="1">
      <c r="A930" s="14"/>
      <c r="B930" s="21"/>
      <c r="C930" s="21"/>
      <c r="D930" s="14"/>
      <c r="E930" s="32"/>
      <c r="F930" s="32"/>
      <c r="G930" s="2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7"/>
      <c r="S930" s="7"/>
      <c r="T930" s="4"/>
      <c r="U930" s="4"/>
      <c r="V930" s="4"/>
      <c r="W930" s="4"/>
      <c r="X930" s="4"/>
      <c r="Y930" s="4"/>
      <c r="Z930" s="4"/>
    </row>
    <row r="931" ht="12.75" customHeight="1">
      <c r="A931" s="14"/>
      <c r="B931" s="21"/>
      <c r="C931" s="21"/>
      <c r="D931" s="14"/>
      <c r="E931" s="32"/>
      <c r="F931" s="32"/>
      <c r="G931" s="2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7"/>
      <c r="S931" s="7"/>
      <c r="T931" s="4"/>
      <c r="U931" s="4"/>
      <c r="V931" s="4"/>
      <c r="W931" s="4"/>
      <c r="X931" s="4"/>
      <c r="Y931" s="4"/>
      <c r="Z931" s="4"/>
    </row>
    <row r="932" ht="12.75" customHeight="1">
      <c r="A932" s="14"/>
      <c r="B932" s="21"/>
      <c r="C932" s="21"/>
      <c r="D932" s="14"/>
      <c r="E932" s="32"/>
      <c r="F932" s="32"/>
      <c r="G932" s="2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7"/>
      <c r="S932" s="7"/>
      <c r="T932" s="4"/>
      <c r="U932" s="4"/>
      <c r="V932" s="4"/>
      <c r="W932" s="4"/>
      <c r="X932" s="4"/>
      <c r="Y932" s="4"/>
      <c r="Z932" s="4"/>
    </row>
    <row r="933" ht="12.75" customHeight="1">
      <c r="A933" s="14"/>
      <c r="B933" s="21"/>
      <c r="C933" s="21"/>
      <c r="D933" s="14"/>
      <c r="E933" s="32"/>
      <c r="F933" s="32"/>
      <c r="G933" s="2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7"/>
      <c r="S933" s="7"/>
      <c r="T933" s="4"/>
      <c r="U933" s="4"/>
      <c r="V933" s="4"/>
      <c r="W933" s="4"/>
      <c r="X933" s="4"/>
      <c r="Y933" s="4"/>
      <c r="Z933" s="4"/>
    </row>
    <row r="934" ht="12.75" customHeight="1">
      <c r="A934" s="14"/>
      <c r="B934" s="21"/>
      <c r="C934" s="21"/>
      <c r="D934" s="14"/>
      <c r="E934" s="32"/>
      <c r="F934" s="32"/>
      <c r="G934" s="2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7"/>
      <c r="S934" s="7"/>
      <c r="T934" s="4"/>
      <c r="U934" s="4"/>
      <c r="V934" s="4"/>
      <c r="W934" s="4"/>
      <c r="X934" s="4"/>
      <c r="Y934" s="4"/>
      <c r="Z934" s="4"/>
    </row>
    <row r="935" ht="12.75" customHeight="1">
      <c r="A935" s="14"/>
      <c r="B935" s="21"/>
      <c r="C935" s="21"/>
      <c r="D935" s="14"/>
      <c r="E935" s="32"/>
      <c r="F935" s="32"/>
      <c r="G935" s="2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7"/>
      <c r="S935" s="7"/>
      <c r="T935" s="4"/>
      <c r="U935" s="4"/>
      <c r="V935" s="4"/>
      <c r="W935" s="4"/>
      <c r="X935" s="4"/>
      <c r="Y935" s="4"/>
      <c r="Z935" s="4"/>
    </row>
    <row r="936" ht="12.75" customHeight="1">
      <c r="A936" s="14"/>
      <c r="B936" s="21"/>
      <c r="C936" s="21"/>
      <c r="D936" s="14"/>
      <c r="E936" s="32"/>
      <c r="F936" s="32"/>
      <c r="G936" s="2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7"/>
      <c r="S936" s="7"/>
      <c r="T936" s="4"/>
      <c r="U936" s="4"/>
      <c r="V936" s="4"/>
      <c r="W936" s="4"/>
      <c r="X936" s="4"/>
      <c r="Y936" s="4"/>
      <c r="Z936" s="4"/>
    </row>
    <row r="937" ht="12.75" customHeight="1">
      <c r="A937" s="14"/>
      <c r="B937" s="21"/>
      <c r="C937" s="21"/>
      <c r="D937" s="14"/>
      <c r="E937" s="32"/>
      <c r="F937" s="32"/>
      <c r="G937" s="2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7"/>
      <c r="S937" s="7"/>
      <c r="T937" s="4"/>
      <c r="U937" s="4"/>
      <c r="V937" s="4"/>
      <c r="W937" s="4"/>
      <c r="X937" s="4"/>
      <c r="Y937" s="4"/>
      <c r="Z937" s="4"/>
    </row>
    <row r="938" ht="12.75" customHeight="1">
      <c r="A938" s="14"/>
      <c r="B938" s="21"/>
      <c r="C938" s="21"/>
      <c r="D938" s="14"/>
      <c r="E938" s="32"/>
      <c r="F938" s="32"/>
      <c r="G938" s="2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7"/>
      <c r="S938" s="7"/>
      <c r="T938" s="4"/>
      <c r="U938" s="4"/>
      <c r="V938" s="4"/>
      <c r="W938" s="4"/>
      <c r="X938" s="4"/>
      <c r="Y938" s="4"/>
      <c r="Z938" s="4"/>
    </row>
    <row r="939" ht="12.75" customHeight="1">
      <c r="A939" s="14"/>
      <c r="B939" s="21"/>
      <c r="C939" s="21"/>
      <c r="D939" s="14"/>
      <c r="E939" s="32"/>
      <c r="F939" s="32"/>
      <c r="G939" s="2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7"/>
      <c r="S939" s="7"/>
      <c r="T939" s="4"/>
      <c r="U939" s="4"/>
      <c r="V939" s="4"/>
      <c r="W939" s="4"/>
      <c r="X939" s="4"/>
      <c r="Y939" s="4"/>
      <c r="Z939" s="4"/>
    </row>
    <row r="940" ht="12.75" customHeight="1">
      <c r="A940" s="14"/>
      <c r="B940" s="21"/>
      <c r="C940" s="21"/>
      <c r="D940" s="14"/>
      <c r="E940" s="32"/>
      <c r="F940" s="32"/>
      <c r="G940" s="2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7"/>
      <c r="S940" s="7"/>
      <c r="T940" s="4"/>
      <c r="U940" s="4"/>
      <c r="V940" s="4"/>
      <c r="W940" s="4"/>
      <c r="X940" s="4"/>
      <c r="Y940" s="4"/>
      <c r="Z940" s="4"/>
    </row>
    <row r="941" ht="12.75" customHeight="1">
      <c r="A941" s="14"/>
      <c r="B941" s="21"/>
      <c r="C941" s="21"/>
      <c r="D941" s="14"/>
      <c r="E941" s="32"/>
      <c r="F941" s="32"/>
      <c r="G941" s="2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7"/>
      <c r="S941" s="7"/>
      <c r="T941" s="4"/>
      <c r="U941" s="4"/>
      <c r="V941" s="4"/>
      <c r="W941" s="4"/>
      <c r="X941" s="4"/>
      <c r="Y941" s="4"/>
      <c r="Z941" s="4"/>
    </row>
    <row r="942" ht="12.75" customHeight="1">
      <c r="A942" s="14"/>
      <c r="B942" s="21"/>
      <c r="C942" s="21"/>
      <c r="D942" s="14"/>
      <c r="E942" s="32"/>
      <c r="F942" s="32"/>
      <c r="G942" s="2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7"/>
      <c r="S942" s="7"/>
      <c r="T942" s="4"/>
      <c r="U942" s="4"/>
      <c r="V942" s="4"/>
      <c r="W942" s="4"/>
      <c r="X942" s="4"/>
      <c r="Y942" s="4"/>
      <c r="Z942" s="4"/>
    </row>
    <row r="943" ht="12.75" customHeight="1">
      <c r="A943" s="14"/>
      <c r="B943" s="21"/>
      <c r="C943" s="21"/>
      <c r="D943" s="14"/>
      <c r="E943" s="32"/>
      <c r="F943" s="32"/>
      <c r="G943" s="2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7"/>
      <c r="S943" s="7"/>
      <c r="T943" s="4"/>
      <c r="U943" s="4"/>
      <c r="V943" s="4"/>
      <c r="W943" s="4"/>
      <c r="X943" s="4"/>
      <c r="Y943" s="4"/>
      <c r="Z943" s="4"/>
    </row>
    <row r="944" ht="12.75" customHeight="1">
      <c r="A944" s="14"/>
      <c r="B944" s="21"/>
      <c r="C944" s="21"/>
      <c r="D944" s="14"/>
      <c r="E944" s="32"/>
      <c r="F944" s="32"/>
      <c r="G944" s="2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7"/>
      <c r="S944" s="7"/>
      <c r="T944" s="4"/>
      <c r="U944" s="4"/>
      <c r="V944" s="4"/>
      <c r="W944" s="4"/>
      <c r="X944" s="4"/>
      <c r="Y944" s="4"/>
      <c r="Z944" s="4"/>
    </row>
    <row r="945" ht="12.75" customHeight="1">
      <c r="A945" s="14"/>
      <c r="B945" s="21"/>
      <c r="C945" s="21"/>
      <c r="D945" s="14"/>
      <c r="E945" s="32"/>
      <c r="F945" s="32"/>
      <c r="G945" s="2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7"/>
      <c r="S945" s="7"/>
      <c r="T945" s="4"/>
      <c r="U945" s="4"/>
      <c r="V945" s="4"/>
      <c r="W945" s="4"/>
      <c r="X945" s="4"/>
      <c r="Y945" s="4"/>
      <c r="Z945" s="4"/>
    </row>
    <row r="946" ht="12.75" customHeight="1">
      <c r="A946" s="14"/>
      <c r="B946" s="21"/>
      <c r="C946" s="21"/>
      <c r="D946" s="14"/>
      <c r="E946" s="32"/>
      <c r="F946" s="32"/>
      <c r="G946" s="2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7"/>
      <c r="S946" s="7"/>
      <c r="T946" s="4"/>
      <c r="U946" s="4"/>
      <c r="V946" s="4"/>
      <c r="W946" s="4"/>
      <c r="X946" s="4"/>
      <c r="Y946" s="4"/>
      <c r="Z946" s="4"/>
    </row>
    <row r="947" ht="12.75" customHeight="1">
      <c r="A947" s="14"/>
      <c r="B947" s="21"/>
      <c r="C947" s="21"/>
      <c r="D947" s="14"/>
      <c r="E947" s="32"/>
      <c r="F947" s="32"/>
      <c r="G947" s="2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7"/>
      <c r="S947" s="7"/>
      <c r="T947" s="4"/>
      <c r="U947" s="4"/>
      <c r="V947" s="4"/>
      <c r="W947" s="4"/>
      <c r="X947" s="4"/>
      <c r="Y947" s="4"/>
      <c r="Z947" s="4"/>
    </row>
    <row r="948" ht="12.75" customHeight="1">
      <c r="A948" s="14"/>
      <c r="B948" s="21"/>
      <c r="C948" s="21"/>
      <c r="D948" s="14"/>
      <c r="E948" s="32"/>
      <c r="F948" s="32"/>
      <c r="G948" s="2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7"/>
      <c r="S948" s="7"/>
      <c r="T948" s="4"/>
      <c r="U948" s="4"/>
      <c r="V948" s="4"/>
      <c r="W948" s="4"/>
      <c r="X948" s="4"/>
      <c r="Y948" s="4"/>
      <c r="Z948" s="4"/>
    </row>
    <row r="949" ht="12.75" customHeight="1">
      <c r="A949" s="14"/>
      <c r="B949" s="21"/>
      <c r="C949" s="21"/>
      <c r="D949" s="14"/>
      <c r="E949" s="32"/>
      <c r="F949" s="32"/>
      <c r="G949" s="2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7"/>
      <c r="S949" s="7"/>
      <c r="T949" s="4"/>
      <c r="U949" s="4"/>
      <c r="V949" s="4"/>
      <c r="W949" s="4"/>
      <c r="X949" s="4"/>
      <c r="Y949" s="4"/>
      <c r="Z949" s="4"/>
    </row>
    <row r="950" ht="12.75" customHeight="1">
      <c r="A950" s="14"/>
      <c r="B950" s="21"/>
      <c r="C950" s="21"/>
      <c r="D950" s="14"/>
      <c r="E950" s="32"/>
      <c r="F950" s="32"/>
      <c r="G950" s="2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7"/>
      <c r="S950" s="7"/>
      <c r="T950" s="4"/>
      <c r="U950" s="4"/>
      <c r="V950" s="4"/>
      <c r="W950" s="4"/>
      <c r="X950" s="4"/>
      <c r="Y950" s="4"/>
      <c r="Z950" s="4"/>
    </row>
    <row r="951" ht="12.75" customHeight="1">
      <c r="A951" s="14"/>
      <c r="B951" s="21"/>
      <c r="C951" s="21"/>
      <c r="D951" s="14"/>
      <c r="E951" s="32"/>
      <c r="F951" s="32"/>
      <c r="G951" s="2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7"/>
      <c r="S951" s="7"/>
      <c r="T951" s="4"/>
      <c r="U951" s="4"/>
      <c r="V951" s="4"/>
      <c r="W951" s="4"/>
      <c r="X951" s="4"/>
      <c r="Y951" s="4"/>
      <c r="Z951" s="4"/>
    </row>
    <row r="952" ht="12.75" customHeight="1">
      <c r="A952" s="14"/>
      <c r="B952" s="21"/>
      <c r="C952" s="21"/>
      <c r="D952" s="14"/>
      <c r="E952" s="32"/>
      <c r="F952" s="32"/>
      <c r="G952" s="2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7"/>
      <c r="S952" s="7"/>
      <c r="T952" s="4"/>
      <c r="U952" s="4"/>
      <c r="V952" s="4"/>
      <c r="W952" s="4"/>
      <c r="X952" s="4"/>
      <c r="Y952" s="4"/>
      <c r="Z952" s="4"/>
    </row>
    <row r="953" ht="12.75" customHeight="1">
      <c r="A953" s="14"/>
      <c r="B953" s="21"/>
      <c r="C953" s="21"/>
      <c r="D953" s="14"/>
      <c r="E953" s="32"/>
      <c r="F953" s="32"/>
      <c r="G953" s="2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7"/>
      <c r="S953" s="7"/>
      <c r="T953" s="4"/>
      <c r="U953" s="4"/>
      <c r="V953" s="4"/>
      <c r="W953" s="4"/>
      <c r="X953" s="4"/>
      <c r="Y953" s="4"/>
      <c r="Z953" s="4"/>
    </row>
    <row r="954" ht="12.75" customHeight="1">
      <c r="A954" s="14"/>
      <c r="B954" s="21"/>
      <c r="C954" s="21"/>
      <c r="D954" s="14"/>
      <c r="E954" s="32"/>
      <c r="F954" s="32"/>
      <c r="G954" s="2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7"/>
      <c r="S954" s="7"/>
      <c r="T954" s="4"/>
      <c r="U954" s="4"/>
      <c r="V954" s="4"/>
      <c r="W954" s="4"/>
      <c r="X954" s="4"/>
      <c r="Y954" s="4"/>
      <c r="Z954" s="4"/>
    </row>
    <row r="955" ht="12.75" customHeight="1">
      <c r="A955" s="14"/>
      <c r="B955" s="21"/>
      <c r="C955" s="21"/>
      <c r="D955" s="14"/>
      <c r="E955" s="32"/>
      <c r="F955" s="32"/>
      <c r="G955" s="2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7"/>
      <c r="S955" s="7"/>
      <c r="T955" s="4"/>
      <c r="U955" s="4"/>
      <c r="V955" s="4"/>
      <c r="W955" s="4"/>
      <c r="X955" s="4"/>
      <c r="Y955" s="4"/>
      <c r="Z955" s="4"/>
    </row>
    <row r="956" ht="12.75" customHeight="1">
      <c r="A956" s="14"/>
      <c r="B956" s="21"/>
      <c r="C956" s="21"/>
      <c r="D956" s="14"/>
      <c r="E956" s="32"/>
      <c r="F956" s="32"/>
      <c r="G956" s="2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7"/>
      <c r="S956" s="7"/>
      <c r="T956" s="4"/>
      <c r="U956" s="4"/>
      <c r="V956" s="4"/>
      <c r="W956" s="4"/>
      <c r="X956" s="4"/>
      <c r="Y956" s="4"/>
      <c r="Z956" s="4"/>
    </row>
    <row r="957" ht="12.75" customHeight="1">
      <c r="A957" s="14"/>
      <c r="B957" s="21"/>
      <c r="C957" s="21"/>
      <c r="D957" s="14"/>
      <c r="E957" s="32"/>
      <c r="F957" s="32"/>
      <c r="G957" s="2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7"/>
      <c r="S957" s="7"/>
      <c r="T957" s="4"/>
      <c r="U957" s="4"/>
      <c r="V957" s="4"/>
      <c r="W957" s="4"/>
      <c r="X957" s="4"/>
      <c r="Y957" s="4"/>
      <c r="Z957" s="4"/>
    </row>
    <row r="958" ht="12.75" customHeight="1">
      <c r="A958" s="14"/>
      <c r="B958" s="21"/>
      <c r="C958" s="21"/>
      <c r="D958" s="14"/>
      <c r="E958" s="32"/>
      <c r="F958" s="32"/>
      <c r="G958" s="2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7"/>
      <c r="S958" s="7"/>
      <c r="T958" s="4"/>
      <c r="U958" s="4"/>
      <c r="V958" s="4"/>
      <c r="W958" s="4"/>
      <c r="X958" s="4"/>
      <c r="Y958" s="4"/>
      <c r="Z958" s="4"/>
    </row>
    <row r="959" ht="12.75" customHeight="1">
      <c r="A959" s="14"/>
      <c r="B959" s="21"/>
      <c r="C959" s="21"/>
      <c r="D959" s="14"/>
      <c r="E959" s="32"/>
      <c r="F959" s="32"/>
      <c r="G959" s="2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7"/>
      <c r="S959" s="7"/>
      <c r="T959" s="4"/>
      <c r="U959" s="4"/>
      <c r="V959" s="4"/>
      <c r="W959" s="4"/>
      <c r="X959" s="4"/>
      <c r="Y959" s="4"/>
      <c r="Z959" s="4"/>
    </row>
    <row r="960" ht="12.75" customHeight="1">
      <c r="A960" s="14"/>
      <c r="B960" s="21"/>
      <c r="C960" s="21"/>
      <c r="D960" s="14"/>
      <c r="E960" s="32"/>
      <c r="F960" s="32"/>
      <c r="G960" s="2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7"/>
      <c r="S960" s="7"/>
      <c r="T960" s="4"/>
      <c r="U960" s="4"/>
      <c r="V960" s="4"/>
      <c r="W960" s="4"/>
      <c r="X960" s="4"/>
      <c r="Y960" s="4"/>
      <c r="Z960" s="4"/>
    </row>
    <row r="961" ht="12.75" customHeight="1">
      <c r="A961" s="14"/>
      <c r="B961" s="21"/>
      <c r="C961" s="21"/>
      <c r="D961" s="14"/>
      <c r="E961" s="32"/>
      <c r="F961" s="32"/>
      <c r="G961" s="2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7"/>
      <c r="S961" s="7"/>
      <c r="T961" s="4"/>
      <c r="U961" s="4"/>
      <c r="V961" s="4"/>
      <c r="W961" s="4"/>
      <c r="X961" s="4"/>
      <c r="Y961" s="4"/>
      <c r="Z961" s="4"/>
    </row>
    <row r="962" ht="12.75" customHeight="1">
      <c r="A962" s="14"/>
      <c r="B962" s="21"/>
      <c r="C962" s="21"/>
      <c r="D962" s="14"/>
      <c r="E962" s="32"/>
      <c r="F962" s="32"/>
      <c r="G962" s="2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7"/>
      <c r="S962" s="7"/>
      <c r="T962" s="4"/>
      <c r="U962" s="4"/>
      <c r="V962" s="4"/>
      <c r="W962" s="4"/>
      <c r="X962" s="4"/>
      <c r="Y962" s="4"/>
      <c r="Z962" s="4"/>
    </row>
    <row r="963" ht="12.75" customHeight="1">
      <c r="A963" s="14"/>
      <c r="B963" s="21"/>
      <c r="C963" s="21"/>
      <c r="D963" s="14"/>
      <c r="E963" s="32"/>
      <c r="F963" s="32"/>
      <c r="G963" s="2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7"/>
      <c r="S963" s="7"/>
      <c r="T963" s="4"/>
      <c r="U963" s="4"/>
      <c r="V963" s="4"/>
      <c r="W963" s="4"/>
      <c r="X963" s="4"/>
      <c r="Y963" s="4"/>
      <c r="Z963" s="4"/>
    </row>
    <row r="964" ht="12.75" customHeight="1">
      <c r="A964" s="14"/>
      <c r="B964" s="21"/>
      <c r="C964" s="21"/>
      <c r="D964" s="14"/>
      <c r="E964" s="32"/>
      <c r="F964" s="32"/>
      <c r="G964" s="2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7"/>
      <c r="S964" s="7"/>
      <c r="T964" s="4"/>
      <c r="U964" s="4"/>
      <c r="V964" s="4"/>
      <c r="W964" s="4"/>
      <c r="X964" s="4"/>
      <c r="Y964" s="4"/>
      <c r="Z964" s="4"/>
    </row>
    <row r="965" ht="12.75" customHeight="1">
      <c r="A965" s="14"/>
      <c r="B965" s="21"/>
      <c r="C965" s="21"/>
      <c r="D965" s="14"/>
      <c r="E965" s="32"/>
      <c r="F965" s="32"/>
      <c r="G965" s="2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7"/>
      <c r="S965" s="7"/>
      <c r="T965" s="4"/>
      <c r="U965" s="4"/>
      <c r="V965" s="4"/>
      <c r="W965" s="4"/>
      <c r="X965" s="4"/>
      <c r="Y965" s="4"/>
      <c r="Z965" s="4"/>
    </row>
    <row r="966" ht="12.75" customHeight="1">
      <c r="A966" s="14"/>
      <c r="B966" s="21"/>
      <c r="C966" s="21"/>
      <c r="D966" s="14"/>
      <c r="E966" s="32"/>
      <c r="F966" s="32"/>
      <c r="G966" s="2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7"/>
      <c r="S966" s="7"/>
      <c r="T966" s="4"/>
      <c r="U966" s="4"/>
      <c r="V966" s="4"/>
      <c r="W966" s="4"/>
      <c r="X966" s="4"/>
      <c r="Y966" s="4"/>
      <c r="Z966" s="4"/>
    </row>
    <row r="967" ht="12.75" customHeight="1">
      <c r="A967" s="14"/>
      <c r="B967" s="21"/>
      <c r="C967" s="21"/>
      <c r="D967" s="14"/>
      <c r="E967" s="32"/>
      <c r="F967" s="32"/>
      <c r="G967" s="2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7"/>
      <c r="S967" s="7"/>
      <c r="T967" s="4"/>
      <c r="U967" s="4"/>
      <c r="V967" s="4"/>
      <c r="W967" s="4"/>
      <c r="X967" s="4"/>
      <c r="Y967" s="4"/>
      <c r="Z967" s="4"/>
    </row>
    <row r="968" ht="12.75" customHeight="1">
      <c r="A968" s="14"/>
      <c r="B968" s="21"/>
      <c r="C968" s="21"/>
      <c r="D968" s="14"/>
      <c r="E968" s="32"/>
      <c r="F968" s="32"/>
      <c r="G968" s="2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7"/>
      <c r="S968" s="7"/>
      <c r="T968" s="4"/>
      <c r="U968" s="4"/>
      <c r="V968" s="4"/>
      <c r="W968" s="4"/>
      <c r="X968" s="4"/>
      <c r="Y968" s="4"/>
      <c r="Z968" s="4"/>
    </row>
    <row r="969" ht="12.75" customHeight="1">
      <c r="A969" s="14"/>
      <c r="B969" s="21"/>
      <c r="C969" s="21"/>
      <c r="D969" s="14"/>
      <c r="E969" s="32"/>
      <c r="F969" s="32"/>
      <c r="G969" s="2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7"/>
      <c r="S969" s="7"/>
      <c r="T969" s="4"/>
      <c r="U969" s="4"/>
      <c r="V969" s="4"/>
      <c r="W969" s="4"/>
      <c r="X969" s="4"/>
      <c r="Y969" s="4"/>
      <c r="Z969" s="4"/>
    </row>
    <row r="970" ht="12.75" customHeight="1">
      <c r="A970" s="14"/>
      <c r="B970" s="21"/>
      <c r="C970" s="21"/>
      <c r="D970" s="14"/>
      <c r="E970" s="32"/>
      <c r="F970" s="32"/>
      <c r="G970" s="2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7"/>
      <c r="S970" s="7"/>
      <c r="T970" s="4"/>
      <c r="U970" s="4"/>
      <c r="V970" s="4"/>
      <c r="W970" s="4"/>
      <c r="X970" s="4"/>
      <c r="Y970" s="4"/>
      <c r="Z970" s="4"/>
    </row>
    <row r="971" ht="12.75" customHeight="1">
      <c r="A971" s="14"/>
      <c r="B971" s="21"/>
      <c r="C971" s="21"/>
      <c r="D971" s="14"/>
      <c r="E971" s="32"/>
      <c r="F971" s="32"/>
      <c r="G971" s="2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7"/>
      <c r="S971" s="7"/>
      <c r="T971" s="4"/>
      <c r="U971" s="4"/>
      <c r="V971" s="4"/>
      <c r="W971" s="4"/>
      <c r="X971" s="4"/>
      <c r="Y971" s="4"/>
      <c r="Z971" s="4"/>
    </row>
    <row r="972" ht="12.75" customHeight="1">
      <c r="A972" s="14"/>
      <c r="B972" s="21"/>
      <c r="C972" s="21"/>
      <c r="D972" s="14"/>
      <c r="E972" s="32"/>
      <c r="F972" s="32"/>
      <c r="G972" s="2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7"/>
      <c r="S972" s="7"/>
      <c r="T972" s="4"/>
      <c r="U972" s="4"/>
      <c r="V972" s="4"/>
      <c r="W972" s="4"/>
      <c r="X972" s="4"/>
      <c r="Y972" s="4"/>
      <c r="Z972" s="4"/>
    </row>
    <row r="973" ht="12.75" customHeight="1">
      <c r="A973" s="14"/>
      <c r="B973" s="21"/>
      <c r="C973" s="21"/>
      <c r="D973" s="14"/>
      <c r="E973" s="32"/>
      <c r="F973" s="32"/>
      <c r="G973" s="2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7"/>
      <c r="S973" s="7"/>
      <c r="T973" s="4"/>
      <c r="U973" s="4"/>
      <c r="V973" s="4"/>
      <c r="W973" s="4"/>
      <c r="X973" s="4"/>
      <c r="Y973" s="4"/>
      <c r="Z973" s="4"/>
    </row>
    <row r="974" ht="12.75" customHeight="1">
      <c r="A974" s="14"/>
      <c r="B974" s="21"/>
      <c r="C974" s="21"/>
      <c r="D974" s="14"/>
      <c r="E974" s="32"/>
      <c r="F974" s="32"/>
      <c r="G974" s="2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7"/>
      <c r="S974" s="7"/>
      <c r="T974" s="4"/>
      <c r="U974" s="4"/>
      <c r="V974" s="4"/>
      <c r="W974" s="4"/>
      <c r="X974" s="4"/>
      <c r="Y974" s="4"/>
      <c r="Z974" s="4"/>
    </row>
    <row r="975" ht="12.75" customHeight="1">
      <c r="A975" s="14"/>
      <c r="B975" s="21"/>
      <c r="C975" s="21"/>
      <c r="D975" s="14"/>
      <c r="E975" s="32"/>
      <c r="F975" s="32"/>
      <c r="G975" s="2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7"/>
      <c r="S975" s="7"/>
      <c r="T975" s="4"/>
      <c r="U975" s="4"/>
      <c r="V975" s="4"/>
      <c r="W975" s="4"/>
      <c r="X975" s="4"/>
      <c r="Y975" s="4"/>
      <c r="Z975" s="4"/>
    </row>
    <row r="976" ht="12.75" customHeight="1">
      <c r="A976" s="14"/>
      <c r="B976" s="21"/>
      <c r="C976" s="21"/>
      <c r="D976" s="14"/>
      <c r="E976" s="32"/>
      <c r="F976" s="32"/>
      <c r="G976" s="2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7"/>
      <c r="S976" s="7"/>
      <c r="T976" s="4"/>
      <c r="U976" s="4"/>
      <c r="V976" s="4"/>
      <c r="W976" s="4"/>
      <c r="X976" s="4"/>
      <c r="Y976" s="4"/>
      <c r="Z976" s="4"/>
    </row>
    <row r="977" ht="12.75" customHeight="1">
      <c r="A977" s="14"/>
      <c r="B977" s="21"/>
      <c r="C977" s="21"/>
      <c r="D977" s="14"/>
      <c r="E977" s="32"/>
      <c r="F977" s="32"/>
      <c r="G977" s="2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7"/>
      <c r="S977" s="7"/>
      <c r="T977" s="4"/>
      <c r="U977" s="4"/>
      <c r="V977" s="4"/>
      <c r="W977" s="4"/>
      <c r="X977" s="4"/>
      <c r="Y977" s="4"/>
      <c r="Z977" s="4"/>
    </row>
    <row r="978" ht="12.75" customHeight="1">
      <c r="A978" s="14"/>
      <c r="B978" s="21"/>
      <c r="C978" s="21"/>
      <c r="D978" s="14"/>
      <c r="E978" s="32"/>
      <c r="F978" s="32"/>
      <c r="G978" s="2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7"/>
      <c r="S978" s="7"/>
      <c r="T978" s="4"/>
      <c r="U978" s="4"/>
      <c r="V978" s="4"/>
      <c r="W978" s="4"/>
      <c r="X978" s="4"/>
      <c r="Y978" s="4"/>
      <c r="Z978" s="4"/>
    </row>
    <row r="979" ht="12.75" customHeight="1">
      <c r="A979" s="14"/>
      <c r="B979" s="21"/>
      <c r="C979" s="21"/>
      <c r="D979" s="14"/>
      <c r="E979" s="32"/>
      <c r="F979" s="32"/>
      <c r="G979" s="2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7"/>
      <c r="S979" s="7"/>
      <c r="T979" s="4"/>
      <c r="U979" s="4"/>
      <c r="V979" s="4"/>
      <c r="W979" s="4"/>
      <c r="X979" s="4"/>
      <c r="Y979" s="4"/>
      <c r="Z979" s="4"/>
    </row>
    <row r="980" ht="12.75" customHeight="1">
      <c r="A980" s="14"/>
      <c r="B980" s="21"/>
      <c r="C980" s="21"/>
      <c r="D980" s="14"/>
      <c r="E980" s="32"/>
      <c r="F980" s="32"/>
      <c r="G980" s="2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7"/>
      <c r="S980" s="7"/>
      <c r="T980" s="4"/>
      <c r="U980" s="4"/>
      <c r="V980" s="4"/>
      <c r="W980" s="4"/>
      <c r="X980" s="4"/>
      <c r="Y980" s="4"/>
      <c r="Z980" s="4"/>
    </row>
    <row r="981" ht="12.75" customHeight="1">
      <c r="A981" s="14"/>
      <c r="B981" s="21"/>
      <c r="C981" s="21"/>
      <c r="D981" s="14"/>
      <c r="E981" s="32"/>
      <c r="F981" s="32"/>
      <c r="G981" s="2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7"/>
      <c r="S981" s="7"/>
      <c r="T981" s="4"/>
      <c r="U981" s="4"/>
      <c r="V981" s="4"/>
      <c r="W981" s="4"/>
      <c r="X981" s="4"/>
      <c r="Y981" s="4"/>
      <c r="Z981" s="4"/>
    </row>
    <row r="982" ht="12.75" customHeight="1">
      <c r="A982" s="14"/>
      <c r="B982" s="21"/>
      <c r="C982" s="21"/>
      <c r="D982" s="14"/>
      <c r="E982" s="32"/>
      <c r="F982" s="32"/>
      <c r="G982" s="2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7"/>
      <c r="S982" s="7"/>
      <c r="T982" s="4"/>
      <c r="U982" s="4"/>
      <c r="V982" s="4"/>
      <c r="W982" s="4"/>
      <c r="X982" s="4"/>
      <c r="Y982" s="4"/>
      <c r="Z982" s="4"/>
    </row>
    <row r="983" ht="12.75" customHeight="1">
      <c r="A983" s="14"/>
      <c r="B983" s="21"/>
      <c r="C983" s="21"/>
      <c r="D983" s="14"/>
      <c r="E983" s="32"/>
      <c r="F983" s="32"/>
      <c r="G983" s="2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7"/>
      <c r="S983" s="7"/>
      <c r="T983" s="4"/>
      <c r="U983" s="4"/>
      <c r="V983" s="4"/>
      <c r="W983" s="4"/>
      <c r="X983" s="4"/>
      <c r="Y983" s="4"/>
      <c r="Z983" s="4"/>
    </row>
    <row r="984" ht="12.75" customHeight="1">
      <c r="A984" s="14"/>
      <c r="B984" s="21"/>
      <c r="C984" s="21"/>
      <c r="D984" s="14"/>
      <c r="E984" s="32"/>
      <c r="F984" s="32"/>
      <c r="G984" s="2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7"/>
      <c r="S984" s="7"/>
      <c r="T984" s="4"/>
      <c r="U984" s="4"/>
      <c r="V984" s="4"/>
      <c r="W984" s="4"/>
      <c r="X984" s="4"/>
      <c r="Y984" s="4"/>
      <c r="Z984" s="4"/>
    </row>
    <row r="985" ht="12.75" customHeight="1">
      <c r="A985" s="14"/>
      <c r="B985" s="21"/>
      <c r="C985" s="21"/>
      <c r="D985" s="14"/>
      <c r="E985" s="32"/>
      <c r="F985" s="32"/>
      <c r="G985" s="2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7"/>
      <c r="S985" s="7"/>
      <c r="T985" s="4"/>
      <c r="U985" s="4"/>
      <c r="V985" s="4"/>
      <c r="W985" s="4"/>
      <c r="X985" s="4"/>
      <c r="Y985" s="4"/>
      <c r="Z985" s="4"/>
    </row>
    <row r="986" ht="12.75" customHeight="1">
      <c r="A986" s="14"/>
      <c r="B986" s="21"/>
      <c r="C986" s="21"/>
      <c r="D986" s="14"/>
      <c r="E986" s="32"/>
      <c r="F986" s="32"/>
      <c r="G986" s="2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7"/>
      <c r="S986" s="7"/>
      <c r="T986" s="4"/>
      <c r="U986" s="4"/>
      <c r="V986" s="4"/>
      <c r="W986" s="4"/>
      <c r="X986" s="4"/>
      <c r="Y986" s="4"/>
      <c r="Z986" s="4"/>
    </row>
    <row r="987" ht="12.75" customHeight="1">
      <c r="A987" s="14"/>
      <c r="B987" s="21"/>
      <c r="C987" s="21"/>
      <c r="D987" s="14"/>
      <c r="E987" s="32"/>
      <c r="F987" s="32"/>
      <c r="G987" s="2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7"/>
      <c r="S987" s="7"/>
      <c r="T987" s="4"/>
      <c r="U987" s="4"/>
      <c r="V987" s="4"/>
      <c r="W987" s="4"/>
      <c r="X987" s="4"/>
      <c r="Y987" s="4"/>
      <c r="Z987" s="4"/>
    </row>
    <row r="988" ht="12.75" customHeight="1">
      <c r="A988" s="14"/>
      <c r="B988" s="21"/>
      <c r="C988" s="21"/>
      <c r="D988" s="14"/>
      <c r="E988" s="32"/>
      <c r="F988" s="32"/>
      <c r="G988" s="2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7"/>
      <c r="S988" s="7"/>
      <c r="T988" s="4"/>
      <c r="U988" s="4"/>
      <c r="V988" s="4"/>
      <c r="W988" s="4"/>
      <c r="X988" s="4"/>
      <c r="Y988" s="4"/>
      <c r="Z988" s="4"/>
    </row>
    <row r="989" ht="12.75" customHeight="1">
      <c r="A989" s="14"/>
      <c r="B989" s="21"/>
      <c r="C989" s="21"/>
      <c r="D989" s="14"/>
      <c r="E989" s="32"/>
      <c r="F989" s="32"/>
      <c r="G989" s="2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7"/>
      <c r="S989" s="7"/>
      <c r="T989" s="4"/>
      <c r="U989" s="4"/>
      <c r="V989" s="4"/>
      <c r="W989" s="4"/>
      <c r="X989" s="4"/>
      <c r="Y989" s="4"/>
      <c r="Z989" s="4"/>
    </row>
    <row r="990" ht="12.75" customHeight="1">
      <c r="A990" s="14"/>
      <c r="B990" s="21"/>
      <c r="C990" s="21"/>
      <c r="D990" s="14"/>
      <c r="E990" s="32"/>
      <c r="F990" s="32"/>
      <c r="G990" s="2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7"/>
      <c r="S990" s="7"/>
      <c r="T990" s="4"/>
      <c r="U990" s="4"/>
      <c r="V990" s="4"/>
      <c r="W990" s="4"/>
      <c r="X990" s="4"/>
      <c r="Y990" s="4"/>
      <c r="Z990" s="4"/>
    </row>
    <row r="991" ht="12.75" customHeight="1">
      <c r="A991" s="14"/>
      <c r="B991" s="21"/>
      <c r="C991" s="21"/>
      <c r="D991" s="14"/>
      <c r="E991" s="32"/>
      <c r="F991" s="32"/>
      <c r="G991" s="2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7"/>
      <c r="S991" s="7"/>
      <c r="T991" s="4"/>
      <c r="U991" s="4"/>
      <c r="V991" s="4"/>
      <c r="W991" s="4"/>
      <c r="X991" s="4"/>
      <c r="Y991" s="4"/>
      <c r="Z991" s="4"/>
    </row>
    <row r="992" ht="12.75" customHeight="1">
      <c r="A992" s="14"/>
      <c r="B992" s="21"/>
      <c r="C992" s="21"/>
      <c r="D992" s="14"/>
      <c r="E992" s="32"/>
      <c r="F992" s="32"/>
      <c r="G992" s="2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7"/>
      <c r="S992" s="7"/>
      <c r="T992" s="4"/>
      <c r="U992" s="4"/>
      <c r="V992" s="4"/>
      <c r="W992" s="4"/>
      <c r="X992" s="4"/>
      <c r="Y992" s="4"/>
      <c r="Z992" s="4"/>
    </row>
    <row r="993" ht="12.75" customHeight="1">
      <c r="A993" s="14"/>
      <c r="B993" s="21"/>
      <c r="C993" s="21"/>
      <c r="D993" s="14"/>
      <c r="E993" s="32"/>
      <c r="F993" s="32"/>
      <c r="G993" s="2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7"/>
      <c r="S993" s="7"/>
      <c r="T993" s="4"/>
      <c r="U993" s="4"/>
      <c r="V993" s="4"/>
      <c r="W993" s="4"/>
      <c r="X993" s="4"/>
      <c r="Y993" s="4"/>
      <c r="Z993" s="4"/>
    </row>
    <row r="994" ht="12.75" customHeight="1">
      <c r="A994" s="14"/>
      <c r="B994" s="21"/>
      <c r="C994" s="21"/>
      <c r="D994" s="14"/>
      <c r="E994" s="32"/>
      <c r="F994" s="32"/>
      <c r="G994" s="2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7"/>
      <c r="S994" s="7"/>
      <c r="T994" s="4"/>
      <c r="U994" s="4"/>
      <c r="V994" s="4"/>
      <c r="W994" s="4"/>
      <c r="X994" s="4"/>
      <c r="Y994" s="4"/>
      <c r="Z994" s="4"/>
    </row>
    <row r="995" ht="12.75" customHeight="1">
      <c r="A995" s="14"/>
      <c r="B995" s="21"/>
      <c r="C995" s="21"/>
      <c r="D995" s="14"/>
      <c r="E995" s="32"/>
      <c r="F995" s="32"/>
      <c r="G995" s="2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7"/>
      <c r="S995" s="7"/>
      <c r="T995" s="4"/>
      <c r="U995" s="4"/>
      <c r="V995" s="4"/>
      <c r="W995" s="4"/>
      <c r="X995" s="4"/>
      <c r="Y995" s="4"/>
      <c r="Z995" s="4"/>
    </row>
    <row r="996" ht="12.75" customHeight="1">
      <c r="A996" s="14"/>
      <c r="B996" s="21"/>
      <c r="C996" s="21"/>
      <c r="D996" s="14"/>
      <c r="E996" s="32"/>
      <c r="F996" s="32"/>
      <c r="G996" s="2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7"/>
      <c r="S996" s="7"/>
      <c r="T996" s="4"/>
      <c r="U996" s="4"/>
      <c r="V996" s="4"/>
      <c r="W996" s="4"/>
      <c r="X996" s="4"/>
      <c r="Y996" s="4"/>
      <c r="Z996" s="4"/>
    </row>
    <row r="997" ht="12.75" customHeight="1">
      <c r="A997" s="14"/>
      <c r="B997" s="21"/>
      <c r="C997" s="21"/>
      <c r="D997" s="14"/>
      <c r="E997" s="32"/>
      <c r="F997" s="32"/>
      <c r="G997" s="2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7"/>
      <c r="S997" s="7"/>
      <c r="T997" s="4"/>
      <c r="U997" s="4"/>
      <c r="V997" s="4"/>
      <c r="W997" s="4"/>
      <c r="X997" s="4"/>
      <c r="Y997" s="4"/>
      <c r="Z997" s="4"/>
    </row>
    <row r="998" ht="12.75" customHeight="1">
      <c r="A998" s="14"/>
      <c r="B998" s="21"/>
      <c r="C998" s="21"/>
      <c r="D998" s="14"/>
      <c r="E998" s="32"/>
      <c r="F998" s="32"/>
      <c r="G998" s="21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7"/>
      <c r="S998" s="7"/>
      <c r="T998" s="4"/>
      <c r="U998" s="4"/>
      <c r="V998" s="4"/>
      <c r="W998" s="4"/>
      <c r="X998" s="4"/>
      <c r="Y998" s="4"/>
      <c r="Z998" s="4"/>
    </row>
    <row r="999" ht="12.75" customHeight="1">
      <c r="A999" s="14"/>
      <c r="B999" s="21"/>
      <c r="C999" s="21"/>
      <c r="D999" s="14"/>
      <c r="E999" s="32"/>
      <c r="F999" s="32"/>
      <c r="G999" s="21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7"/>
      <c r="S999" s="7"/>
      <c r="T999" s="4"/>
      <c r="U999" s="4"/>
      <c r="V999" s="4"/>
      <c r="W999" s="4"/>
      <c r="X999" s="4"/>
      <c r="Y999" s="4"/>
      <c r="Z999" s="4"/>
    </row>
    <row r="1000" ht="12.75" customHeight="1">
      <c r="A1000" s="14"/>
      <c r="B1000" s="21"/>
      <c r="C1000" s="21"/>
      <c r="D1000" s="14"/>
      <c r="E1000" s="32"/>
      <c r="F1000" s="32"/>
      <c r="G1000" s="21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7"/>
      <c r="S1000" s="7"/>
      <c r="T1000" s="4"/>
      <c r="U1000" s="4"/>
      <c r="V1000" s="4"/>
      <c r="W1000" s="4"/>
      <c r="X1000" s="4"/>
      <c r="Y1000" s="4"/>
      <c r="Z1000" s="4"/>
    </row>
    <row r="1001" ht="12.75" customHeight="1">
      <c r="A1001" s="14"/>
      <c r="B1001" s="21"/>
      <c r="C1001" s="21"/>
      <c r="D1001" s="14"/>
      <c r="E1001" s="32"/>
      <c r="F1001" s="32"/>
      <c r="G1001" s="21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7"/>
      <c r="S1001" s="7"/>
      <c r="T1001" s="4"/>
      <c r="U1001" s="4"/>
      <c r="V1001" s="4"/>
      <c r="W1001" s="4"/>
      <c r="X1001" s="4"/>
      <c r="Y1001" s="4"/>
      <c r="Z1001" s="4"/>
    </row>
    <row r="1002" ht="12.75" customHeight="1">
      <c r="A1002" s="14"/>
      <c r="B1002" s="21"/>
      <c r="C1002" s="21"/>
      <c r="D1002" s="14"/>
      <c r="E1002" s="32"/>
      <c r="F1002" s="32"/>
      <c r="G1002" s="21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7"/>
      <c r="S1002" s="7"/>
      <c r="T1002" s="4"/>
      <c r="U1002" s="4"/>
      <c r="V1002" s="4"/>
      <c r="W1002" s="4"/>
      <c r="X1002" s="4"/>
      <c r="Y1002" s="4"/>
      <c r="Z1002" s="4"/>
    </row>
    <row r="1003" ht="12.75" customHeight="1">
      <c r="A1003" s="14"/>
      <c r="B1003" s="21"/>
      <c r="C1003" s="21"/>
      <c r="D1003" s="14"/>
      <c r="E1003" s="32"/>
      <c r="F1003" s="32"/>
      <c r="G1003" s="21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7"/>
      <c r="S1003" s="7"/>
      <c r="T1003" s="4"/>
      <c r="U1003" s="4"/>
      <c r="V1003" s="4"/>
      <c r="W1003" s="4"/>
      <c r="X1003" s="4"/>
      <c r="Y1003" s="4"/>
      <c r="Z1003" s="4"/>
    </row>
    <row r="1004" ht="12.75" customHeight="1">
      <c r="A1004" s="14"/>
      <c r="B1004" s="21"/>
      <c r="C1004" s="21"/>
      <c r="D1004" s="14"/>
      <c r="E1004" s="32"/>
      <c r="F1004" s="32"/>
      <c r="G1004" s="21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7"/>
      <c r="S1004" s="7"/>
      <c r="T1004" s="4"/>
      <c r="U1004" s="4"/>
      <c r="V1004" s="4"/>
      <c r="W1004" s="4"/>
      <c r="X1004" s="4"/>
      <c r="Y1004" s="4"/>
      <c r="Z1004" s="4"/>
    </row>
    <row r="1005" ht="12.75" customHeight="1">
      <c r="A1005" s="14"/>
      <c r="B1005" s="21"/>
      <c r="C1005" s="21"/>
      <c r="D1005" s="14"/>
      <c r="E1005" s="32"/>
      <c r="F1005" s="32"/>
      <c r="G1005" s="21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7"/>
      <c r="S1005" s="7"/>
      <c r="T1005" s="4"/>
      <c r="U1005" s="4"/>
      <c r="V1005" s="4"/>
      <c r="W1005" s="4"/>
      <c r="X1005" s="4"/>
      <c r="Y1005" s="4"/>
      <c r="Z1005" s="4"/>
    </row>
    <row r="1006" ht="12.75" customHeight="1">
      <c r="A1006" s="14"/>
      <c r="B1006" s="21"/>
      <c r="C1006" s="21"/>
      <c r="D1006" s="14"/>
      <c r="E1006" s="32"/>
      <c r="F1006" s="32"/>
      <c r="G1006" s="21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7"/>
      <c r="S1006" s="7"/>
      <c r="T1006" s="4"/>
      <c r="U1006" s="4"/>
      <c r="V1006" s="4"/>
      <c r="W1006" s="4"/>
      <c r="X1006" s="4"/>
      <c r="Y1006" s="4"/>
      <c r="Z1006" s="4"/>
    </row>
    <row r="1007" ht="12.75" customHeight="1">
      <c r="A1007" s="14"/>
      <c r="B1007" s="21"/>
      <c r="C1007" s="21"/>
      <c r="D1007" s="14"/>
      <c r="E1007" s="32"/>
      <c r="F1007" s="32"/>
      <c r="G1007" s="21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7"/>
      <c r="S1007" s="7"/>
      <c r="T1007" s="4"/>
      <c r="U1007" s="4"/>
      <c r="V1007" s="4"/>
      <c r="W1007" s="4"/>
      <c r="X1007" s="4"/>
      <c r="Y1007" s="4"/>
      <c r="Z1007" s="4"/>
    </row>
    <row r="1008" ht="12.75" customHeight="1">
      <c r="A1008" s="14"/>
      <c r="B1008" s="21"/>
      <c r="C1008" s="21"/>
      <c r="D1008" s="14"/>
      <c r="E1008" s="32"/>
      <c r="F1008" s="32"/>
      <c r="G1008" s="21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7"/>
      <c r="S1008" s="7"/>
      <c r="T1008" s="4"/>
      <c r="U1008" s="4"/>
      <c r="V1008" s="4"/>
      <c r="W1008" s="4"/>
      <c r="X1008" s="4"/>
      <c r="Y1008" s="4"/>
      <c r="Z1008" s="4"/>
    </row>
    <row r="1009" ht="12.75" customHeight="1">
      <c r="A1009" s="14"/>
      <c r="B1009" s="21"/>
      <c r="C1009" s="21"/>
      <c r="D1009" s="14"/>
      <c r="E1009" s="32"/>
      <c r="F1009" s="32"/>
      <c r="G1009" s="21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7"/>
      <c r="S1009" s="7"/>
      <c r="T1009" s="4"/>
      <c r="U1009" s="4"/>
      <c r="V1009" s="4"/>
      <c r="W1009" s="4"/>
      <c r="X1009" s="4"/>
      <c r="Y1009" s="4"/>
      <c r="Z1009" s="4"/>
    </row>
    <row r="1010" ht="12.75" customHeight="1">
      <c r="A1010" s="14"/>
      <c r="B1010" s="21"/>
      <c r="C1010" s="21"/>
      <c r="D1010" s="14"/>
      <c r="E1010" s="32"/>
      <c r="F1010" s="32"/>
      <c r="G1010" s="21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7"/>
      <c r="S1010" s="7"/>
      <c r="T1010" s="4"/>
      <c r="U1010" s="4"/>
      <c r="V1010" s="4"/>
      <c r="W1010" s="4"/>
      <c r="X1010" s="4"/>
      <c r="Y1010" s="4"/>
      <c r="Z1010" s="4"/>
    </row>
    <row r="1011" ht="12.75" customHeight="1">
      <c r="A1011" s="14"/>
      <c r="B1011" s="21"/>
      <c r="C1011" s="21"/>
      <c r="D1011" s="14"/>
      <c r="E1011" s="32"/>
      <c r="F1011" s="32"/>
      <c r="G1011" s="21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7"/>
      <c r="S1011" s="7"/>
      <c r="T1011" s="4"/>
      <c r="U1011" s="4"/>
      <c r="V1011" s="4"/>
      <c r="W1011" s="4"/>
      <c r="X1011" s="4"/>
      <c r="Y1011" s="4"/>
      <c r="Z1011" s="4"/>
    </row>
    <row r="1012" ht="12.75" customHeight="1">
      <c r="A1012" s="7"/>
      <c r="B1012" s="33"/>
      <c r="C1012" s="33"/>
      <c r="D1012" s="7"/>
      <c r="E1012" s="34"/>
      <c r="F1012" s="34"/>
      <c r="G1012" s="33"/>
      <c r="H1012" s="4"/>
      <c r="I1012" s="4"/>
      <c r="J1012" s="4"/>
      <c r="K1012" s="4"/>
      <c r="L1012" s="7"/>
      <c r="M1012" s="7"/>
      <c r="N1012" s="4"/>
      <c r="O1012" s="4"/>
      <c r="P1012" s="4"/>
      <c r="Q1012" s="4"/>
      <c r="R1012" s="7"/>
      <c r="S1012" s="7"/>
      <c r="T1012" s="4"/>
      <c r="U1012" s="4"/>
      <c r="V1012" s="4"/>
      <c r="W1012" s="4"/>
      <c r="X1012" s="4"/>
      <c r="Y1012" s="4"/>
      <c r="Z1012" s="4"/>
    </row>
  </sheetData>
  <mergeCells count="3">
    <mergeCell ref="A1:G1"/>
    <mergeCell ref="I1:J1"/>
    <mergeCell ref="I2:J2"/>
  </mergeCells>
  <conditionalFormatting sqref="F1:F1012 J3:J4">
    <cfRule type="containsText" dxfId="0" priority="1" operator="containsText" text="Done">
      <formula>NOT(ISERROR(SEARCH(("Done"),(F1))))</formula>
    </cfRule>
  </conditionalFormatting>
  <conditionalFormatting sqref="F1:F1012 J3:J4">
    <cfRule type="containsText" dxfId="1" priority="2" operator="containsText" text="In Progress">
      <formula>NOT(ISERROR(SEARCH(("In Progress"),(F1))))</formula>
    </cfRule>
  </conditionalFormatting>
  <conditionalFormatting sqref="F1:F1012 J3:J4">
    <cfRule type="containsText" dxfId="2" priority="3" operator="containsText" text="Issue Triggered">
      <formula>NOT(ISERROR(SEARCH(("Issue Triggered"),(F1))))</formula>
    </cfRule>
  </conditionalFormatting>
  <conditionalFormatting sqref="F1:F1012 J3:J4">
    <cfRule type="containsText" dxfId="3" priority="4" operator="containsText" text="NA">
      <formula>NOT(ISERROR(SEARCH(("NA"),(F1))))</formula>
    </cfRule>
  </conditionalFormatting>
  <conditionalFormatting sqref="J7">
    <cfRule type="containsText" dxfId="4" priority="5" operator="containsText" text="COMPLETED">
      <formula>NOT(ISERROR(SEARCH(("COMPLETED"),(J7))))</formula>
    </cfRule>
  </conditionalFormatting>
  <conditionalFormatting sqref="J7">
    <cfRule type="containsText" dxfId="5" priority="6" operator="containsText" text="IN PROGRESS">
      <formula>NOT(ISERROR(SEARCH(("IN PROGRESS"),(J7))))</formula>
    </cfRule>
  </conditionalFormatting>
  <conditionalFormatting sqref="J7">
    <cfRule type="containsText" dxfId="6" priority="7" operator="containsText" text="PENDING">
      <formula>NOT(ISERROR(SEARCH(("PENDING"),(J7))))</formula>
    </cfRule>
  </conditionalFormatting>
  <conditionalFormatting sqref="J7">
    <cfRule type="containsText" dxfId="7" priority="8" operator="containsText" text="ISSUE FOUND">
      <formula>NOT(ISERROR(SEARCH(("ISSUE FOUND"),(J7))))</formula>
    </cfRule>
  </conditionalFormatting>
  <conditionalFormatting sqref="J7">
    <cfRule type="containsText" dxfId="8" priority="9" operator="containsText" text="NOT APPLICABLE">
      <formula>NOT(ISERROR(SEARCH(("NOT APPLICABLE"),(J7))))</formula>
    </cfRule>
  </conditionalFormatting>
  <conditionalFormatting sqref="I7">
    <cfRule type="containsText" dxfId="4" priority="10" operator="containsText" text="COMPLETED">
      <formula>NOT(ISERROR(SEARCH(("COMPLETED"),(I7))))</formula>
    </cfRule>
  </conditionalFormatting>
  <conditionalFormatting sqref="I7">
    <cfRule type="containsText" dxfId="5" priority="11" operator="containsText" text="IN PROGRESS">
      <formula>NOT(ISERROR(SEARCH(("IN PROGRESS"),(I7))))</formula>
    </cfRule>
  </conditionalFormatting>
  <conditionalFormatting sqref="I7">
    <cfRule type="containsText" dxfId="6" priority="12" operator="containsText" text="PENDING">
      <formula>NOT(ISERROR(SEARCH(("PENDING"),(I7))))</formula>
    </cfRule>
  </conditionalFormatting>
  <conditionalFormatting sqref="I7">
    <cfRule type="containsText" dxfId="7" priority="13" operator="containsText" text="ISSUE FOUND">
      <formula>NOT(ISERROR(SEARCH(("ISSUE FOUND"),(I7))))</formula>
    </cfRule>
  </conditionalFormatting>
  <conditionalFormatting sqref="I7">
    <cfRule type="containsText" dxfId="8" priority="14" operator="containsText" text="NOT APPLICABLE">
      <formula>NOT(ISERROR(SEARCH(("NOT APPLICABLE"),(I7))))</formula>
    </cfRule>
  </conditionalFormatting>
  <conditionalFormatting sqref="E3:E5 F3:F21 J3:J4">
    <cfRule type="containsText" dxfId="9" priority="15" operator="containsText" text="Completed">
      <formula>NOT(ISERROR(SEARCH(("Completed"),(E3))))</formula>
    </cfRule>
  </conditionalFormatting>
  <conditionalFormatting sqref="E3:E5 F3:F21 J3:J4">
    <cfRule type="containsText" dxfId="10" priority="16" operator="containsText" text="Pending">
      <formula>NOT(ISERROR(SEARCH(("Pending"),(E3))))</formula>
    </cfRule>
  </conditionalFormatting>
  <dataValidations>
    <dataValidation type="decimal" allowBlank="1" showDropDown="1" sqref="D6">
      <formula1>1.0</formula1>
      <formula2>5.0</formula2>
    </dataValidation>
  </dataValidations>
  <hyperlinks>
    <hyperlink display="Next Page" location="Symbol!A1" ref="I1"/>
    <hyperlink display="Schematic Symbol Review" location="Symbol!A1" ref="B3"/>
    <hyperlink display="Do Not Populate (DNP) parts check" location="'DNP Parts'!A1" ref="B4"/>
    <hyperlink display="Mounting Hole Check" location="'Mounting Holes'!A1" ref="B5"/>
    <hyperlink display="Power Supply Section" location="'Power Supply'!A1" ref="B6"/>
    <hyperlink display="Power Simulation" location="'Power Simulation'!A1" ref="B7"/>
    <hyperlink display="Test Points" location="'Test Points'!A1" ref="B8"/>
    <hyperlink display="Annexure-I" location="'Annexure-I'!A1" ref="I8"/>
    <hyperlink display="DRC Report" location="DRC!A1" ref="B9"/>
    <hyperlink display="Annexure-II" location="'Annexure-II'!A1" ref="I9"/>
    <hyperlink display="Impedance Report" location="Impedance!A1" ref="B10"/>
    <hyperlink display="Annexure-III" location="'Annexure-III'!A1" ref="I10"/>
    <hyperlink display="Level Translators, Reset, LED Circuits" location="'Level Translators, Reset, LED'!A1" ref="B11"/>
    <hyperlink display="Annexure-IV" location="'Annexure-IV'!A1" ref="I11"/>
    <hyperlink display="Display, Trigger Circuits" location="'Display, Trigger'!A1" ref="B12"/>
    <hyperlink display="USB,SPIand I2C interfaces" location="'USB,SPI and I2C'!A1" ref="B13"/>
    <hyperlink display="SFP interface" location="SFP!A1" ref="B14"/>
    <hyperlink display="FPGA Section" location="FPGA!A1" ref="B15"/>
    <hyperlink display="PCIe Connector" location="'PCIe Connector'!A1" ref="B16"/>
    <hyperlink display="General Points" location="' General Points'!A1" ref="B17"/>
    <hyperlink display="Addon_Sheet1" location="Addon_Sheet1!A1" ref="B18"/>
    <hyperlink display="Addon_Sheet2" location="Addon_Sheet2!A1" ref="B19"/>
    <hyperlink display="Addon_Sheet3" location="Addon_Sheet3!A1" ref="B20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3.0"/>
    <col customWidth="1" min="7" max="7" width="11.63"/>
    <col customWidth="1" min="8" max="8" width="17.13"/>
    <col customWidth="1" min="9" max="9" width="11.88"/>
  </cols>
  <sheetData>
    <row r="1" ht="15.75" customHeight="1">
      <c r="A1" s="1" t="s">
        <v>55</v>
      </c>
      <c r="B1" s="2"/>
      <c r="C1" s="2"/>
      <c r="D1" s="2"/>
      <c r="E1" s="3"/>
      <c r="F1" s="35"/>
      <c r="G1" s="35"/>
      <c r="H1" s="3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35"/>
      <c r="G2" s="38" t="s">
        <v>59</v>
      </c>
      <c r="H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39">
        <v>1.0</v>
      </c>
      <c r="B3" s="40" t="s">
        <v>60</v>
      </c>
      <c r="C3" s="40"/>
      <c r="D3" s="41" t="s">
        <v>61</v>
      </c>
      <c r="E3" s="42"/>
      <c r="F3" s="35"/>
      <c r="G3" s="43">
        <f>COUNTIF(D:D,"Done")</f>
        <v>12</v>
      </c>
      <c r="H3" s="41" t="s">
        <v>62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2.75" customHeight="1">
      <c r="A4" s="44">
        <v>2.0</v>
      </c>
      <c r="B4" s="45" t="s">
        <v>63</v>
      </c>
      <c r="C4" s="40"/>
      <c r="D4" s="41" t="s">
        <v>62</v>
      </c>
      <c r="E4" s="42"/>
      <c r="F4" s="35"/>
      <c r="G4" s="43">
        <f>COUNTIF(D:D,"In Progress")</f>
        <v>0</v>
      </c>
      <c r="H4" s="41" t="s">
        <v>64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2.75" customHeight="1">
      <c r="A5" s="44">
        <v>3.0</v>
      </c>
      <c r="B5" s="40" t="s">
        <v>65</v>
      </c>
      <c r="C5" s="40"/>
      <c r="D5" s="41" t="s">
        <v>62</v>
      </c>
      <c r="E5" s="42"/>
      <c r="F5" s="35"/>
      <c r="G5" s="43">
        <f>COUNTIF(D:D,"Issue Triggered")</f>
        <v>0</v>
      </c>
      <c r="H5" s="46" t="s">
        <v>15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2.75" customHeight="1">
      <c r="A6" s="44">
        <v>4.0</v>
      </c>
      <c r="B6" s="45" t="s">
        <v>66</v>
      </c>
      <c r="C6" s="40"/>
      <c r="D6" s="41" t="s">
        <v>62</v>
      </c>
      <c r="E6" s="42"/>
      <c r="F6" s="35"/>
      <c r="G6" s="43">
        <f t="shared" ref="G6:G7" si="1">COUNTIF(D:D,"NA")</f>
        <v>2</v>
      </c>
      <c r="H6" s="47" t="s">
        <v>67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2.75" customHeight="1">
      <c r="A7" s="39">
        <v>5.0</v>
      </c>
      <c r="B7" s="40" t="s">
        <v>68</v>
      </c>
      <c r="C7" s="40"/>
      <c r="D7" s="41" t="s">
        <v>62</v>
      </c>
      <c r="E7" s="42"/>
      <c r="F7" s="35"/>
      <c r="G7" s="43">
        <f t="shared" si="1"/>
        <v>2</v>
      </c>
      <c r="H7" s="48" t="s">
        <v>61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2.75" customHeight="1">
      <c r="A8" s="44">
        <v>6.0</v>
      </c>
      <c r="B8" s="40" t="s">
        <v>69</v>
      </c>
      <c r="C8" s="40"/>
      <c r="D8" s="41" t="s">
        <v>62</v>
      </c>
      <c r="E8" s="42"/>
      <c r="F8" s="35"/>
      <c r="G8" s="43">
        <f>COUNTIF(B3:B1005,"&lt;&gt;")</f>
        <v>14</v>
      </c>
      <c r="H8" s="49" t="s">
        <v>70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2.75" customHeight="1">
      <c r="A9" s="44">
        <v>7.0</v>
      </c>
      <c r="B9" s="40" t="s">
        <v>71</v>
      </c>
      <c r="C9" s="40"/>
      <c r="D9" s="41" t="s">
        <v>62</v>
      </c>
      <c r="E9" s="42"/>
      <c r="F9" s="35"/>
      <c r="G9" s="50" t="str">
        <f>IF((G8)=(G3+G7),"Completed","Pending")</f>
        <v>Completed</v>
      </c>
      <c r="H9" s="51" t="s">
        <v>72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44">
        <v>8.0</v>
      </c>
      <c r="B10" s="40" t="s">
        <v>73</v>
      </c>
      <c r="C10" s="40"/>
      <c r="D10" s="41" t="s">
        <v>61</v>
      </c>
      <c r="E10" s="42"/>
      <c r="F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2.75" customHeight="1">
      <c r="A11" s="39">
        <v>9.0</v>
      </c>
      <c r="B11" s="40" t="s">
        <v>74</v>
      </c>
      <c r="C11" s="40"/>
      <c r="D11" s="41" t="s">
        <v>62</v>
      </c>
      <c r="E11" s="42"/>
      <c r="F11" s="35"/>
      <c r="G11" s="52" t="s">
        <v>75</v>
      </c>
      <c r="H11" s="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2.75" customHeight="1">
      <c r="A12" s="44">
        <v>10.0</v>
      </c>
      <c r="B12" s="40" t="s">
        <v>76</v>
      </c>
      <c r="C12" s="40"/>
      <c r="D12" s="41" t="s">
        <v>62</v>
      </c>
      <c r="E12" s="42"/>
      <c r="F12" s="35"/>
      <c r="G12" s="53" t="s">
        <v>77</v>
      </c>
      <c r="H12" s="54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2.75" customHeight="1">
      <c r="A13" s="44">
        <v>11.0</v>
      </c>
      <c r="B13" s="45" t="s">
        <v>78</v>
      </c>
      <c r="C13" s="40"/>
      <c r="D13" s="41" t="s">
        <v>62</v>
      </c>
      <c r="E13" s="42"/>
      <c r="F13" s="35"/>
      <c r="G13" s="5" t="s">
        <v>79</v>
      </c>
      <c r="H13" s="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2.75" customHeight="1">
      <c r="A14" s="44">
        <v>12.0</v>
      </c>
      <c r="B14" s="45" t="s">
        <v>80</v>
      </c>
      <c r="C14" s="40"/>
      <c r="D14" s="41" t="s">
        <v>62</v>
      </c>
      <c r="E14" s="42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2.75" customHeight="1">
      <c r="A15" s="39">
        <v>13.0</v>
      </c>
      <c r="B15" s="45" t="s">
        <v>81</v>
      </c>
      <c r="C15" s="40"/>
      <c r="D15" s="41" t="s">
        <v>62</v>
      </c>
      <c r="E15" s="42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2.75" customHeight="1">
      <c r="A16" s="44">
        <v>14.0</v>
      </c>
      <c r="B16" s="45" t="s">
        <v>82</v>
      </c>
      <c r="C16" s="40"/>
      <c r="D16" s="41" t="s">
        <v>62</v>
      </c>
      <c r="E16" s="42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2.75" customHeight="1">
      <c r="A17" s="39"/>
      <c r="B17" s="40"/>
      <c r="C17" s="40"/>
      <c r="D17" s="41"/>
      <c r="E17" s="42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2.75" customHeight="1">
      <c r="A18" s="39"/>
      <c r="B18" s="35"/>
      <c r="C18" s="40"/>
      <c r="D18" s="41"/>
      <c r="E18" s="42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2.75" customHeight="1">
      <c r="A19" s="55"/>
      <c r="B19" s="56"/>
      <c r="C19" s="56"/>
      <c r="D19" s="41"/>
      <c r="E19" s="57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2.75" customHeight="1">
      <c r="A20" s="39"/>
      <c r="B20" s="40"/>
      <c r="C20" s="40"/>
      <c r="D20" s="41"/>
      <c r="E20" s="42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2.75" customHeight="1">
      <c r="A21" s="39"/>
      <c r="B21" s="40"/>
      <c r="C21" s="40"/>
      <c r="D21" s="41"/>
      <c r="E21" s="42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2.75" customHeight="1">
      <c r="A22" s="39"/>
      <c r="B22" s="40"/>
      <c r="C22" s="40"/>
      <c r="D22" s="41"/>
      <c r="E22" s="42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2.75" customHeight="1">
      <c r="A23" s="39"/>
      <c r="B23" s="40"/>
      <c r="C23" s="40"/>
      <c r="D23" s="41"/>
      <c r="E23" s="42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2.75" customHeight="1">
      <c r="A24" s="39"/>
      <c r="B24" s="45"/>
      <c r="C24" s="40"/>
      <c r="D24" s="41"/>
      <c r="E24" s="42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75" customHeight="1">
      <c r="A25" s="39"/>
      <c r="B25" s="40"/>
      <c r="C25" s="40"/>
      <c r="D25" s="41"/>
      <c r="E25" s="42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2.75" customHeight="1">
      <c r="A26" s="39"/>
      <c r="B26" s="40"/>
      <c r="C26" s="40"/>
      <c r="D26" s="41"/>
      <c r="E26" s="42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2.75" customHeight="1">
      <c r="A27" s="58"/>
      <c r="B27" s="40"/>
      <c r="C27" s="40"/>
      <c r="D27" s="41"/>
      <c r="E27" s="42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2.75" customHeight="1">
      <c r="A28" s="39"/>
      <c r="B28" s="40"/>
      <c r="C28" s="40"/>
      <c r="D28" s="41"/>
      <c r="E28" s="42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2.75" customHeight="1">
      <c r="A29" s="39"/>
      <c r="B29" s="40"/>
      <c r="C29" s="40"/>
      <c r="D29" s="41"/>
      <c r="E29" s="42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2.75" customHeight="1">
      <c r="A30" s="39"/>
      <c r="B30" s="40"/>
      <c r="C30" s="40"/>
      <c r="D30" s="41"/>
      <c r="E30" s="42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2.75" customHeight="1">
      <c r="A31" s="39"/>
      <c r="B31" s="40"/>
      <c r="C31" s="40"/>
      <c r="D31" s="41"/>
      <c r="E31" s="42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2.75" customHeight="1">
      <c r="A32" s="58"/>
      <c r="B32" s="59"/>
      <c r="C32" s="40"/>
      <c r="D32" s="41"/>
      <c r="E32" s="42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2.75" customHeight="1">
      <c r="A33" s="39"/>
      <c r="B33" s="60"/>
      <c r="C33" s="40"/>
      <c r="D33" s="41"/>
      <c r="E33" s="42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2.75" customHeight="1">
      <c r="A34" s="39"/>
      <c r="B34" s="61"/>
      <c r="C34" s="40"/>
      <c r="D34" s="41"/>
      <c r="E34" s="42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2.75" customHeight="1">
      <c r="A35" s="39"/>
      <c r="B35" s="40"/>
      <c r="C35" s="40"/>
      <c r="D35" s="41"/>
      <c r="E35" s="42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2.75" customHeight="1">
      <c r="A36" s="39"/>
      <c r="B36" s="40"/>
      <c r="C36" s="40"/>
      <c r="D36" s="41"/>
      <c r="E36" s="42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2.75" customHeight="1">
      <c r="A37" s="39"/>
      <c r="B37" s="40"/>
      <c r="C37" s="40"/>
      <c r="D37" s="41"/>
      <c r="E37" s="42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2.75" customHeight="1">
      <c r="A38" s="39"/>
      <c r="B38" s="40"/>
      <c r="C38" s="40"/>
      <c r="D38" s="41"/>
      <c r="E38" s="42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2.75" customHeight="1">
      <c r="A39" s="39"/>
      <c r="B39" s="40"/>
      <c r="C39" s="40"/>
      <c r="D39" s="41"/>
      <c r="E39" s="42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2.75" customHeight="1">
      <c r="A40" s="39"/>
      <c r="B40" s="40"/>
      <c r="C40" s="40"/>
      <c r="D40" s="41"/>
      <c r="E40" s="42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2.75" customHeight="1">
      <c r="A41" s="39"/>
      <c r="B41" s="40"/>
      <c r="C41" s="40"/>
      <c r="D41" s="41"/>
      <c r="E41" s="42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2.75" customHeight="1">
      <c r="A42" s="39"/>
      <c r="B42" s="61"/>
      <c r="C42" s="40"/>
      <c r="D42" s="41"/>
      <c r="E42" s="42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2.75" customHeight="1">
      <c r="A43" s="39"/>
      <c r="B43" s="61"/>
      <c r="C43" s="40"/>
      <c r="D43" s="41"/>
      <c r="E43" s="42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2.75" customHeight="1">
      <c r="A44" s="39"/>
      <c r="B44" s="40"/>
      <c r="C44" s="40"/>
      <c r="D44" s="41"/>
      <c r="E44" s="42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2.75" customHeight="1">
      <c r="A45" s="39"/>
      <c r="B45" s="40"/>
      <c r="C45" s="40"/>
      <c r="D45" s="41"/>
      <c r="E45" s="42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2.75" customHeight="1">
      <c r="A46" s="39"/>
      <c r="B46" s="40"/>
      <c r="C46" s="40"/>
      <c r="D46" s="41"/>
      <c r="E46" s="42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2.75" customHeight="1">
      <c r="A47" s="39"/>
      <c r="B47" s="40"/>
      <c r="C47" s="40"/>
      <c r="D47" s="41"/>
      <c r="E47" s="4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2.75" customHeight="1">
      <c r="A48" s="39"/>
      <c r="B48" s="40"/>
      <c r="C48" s="40"/>
      <c r="D48" s="41"/>
      <c r="E48" s="42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2.75" customHeight="1">
      <c r="A49" s="58"/>
      <c r="B49" s="40"/>
      <c r="C49" s="40"/>
      <c r="D49" s="41"/>
      <c r="E49" s="42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2.75" customHeight="1">
      <c r="A50" s="39"/>
      <c r="B50" s="40"/>
      <c r="C50" s="40"/>
      <c r="D50" s="41"/>
      <c r="E50" s="42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2.75" customHeight="1">
      <c r="A51" s="39"/>
      <c r="B51" s="40"/>
      <c r="C51" s="40"/>
      <c r="D51" s="41"/>
      <c r="E51" s="42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2.75" customHeight="1">
      <c r="A52" s="39"/>
      <c r="B52" s="40"/>
      <c r="C52" s="40"/>
      <c r="D52" s="41"/>
      <c r="E52" s="42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2.75" customHeight="1">
      <c r="A53" s="39"/>
      <c r="B53" s="40"/>
      <c r="C53" s="40"/>
      <c r="D53" s="41"/>
      <c r="E53" s="42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2.75" customHeight="1">
      <c r="A54" s="39"/>
      <c r="B54" s="40"/>
      <c r="C54" s="40"/>
      <c r="D54" s="41"/>
      <c r="E54" s="42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2.75" customHeight="1">
      <c r="A55" s="58"/>
      <c r="B55" s="40"/>
      <c r="C55" s="40"/>
      <c r="D55" s="41"/>
      <c r="E55" s="42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2.75" customHeight="1">
      <c r="A56" s="58"/>
      <c r="B56" s="40"/>
      <c r="C56" s="40"/>
      <c r="D56" s="41"/>
      <c r="E56" s="42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2.75" customHeight="1">
      <c r="A57" s="39"/>
      <c r="B57" s="40"/>
      <c r="C57" s="40"/>
      <c r="D57" s="41"/>
      <c r="E57" s="42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2.75" customHeight="1">
      <c r="A58" s="39"/>
      <c r="B58" s="40"/>
      <c r="C58" s="40"/>
      <c r="D58" s="41"/>
      <c r="E58" s="42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2.75" customHeight="1">
      <c r="A59" s="39"/>
      <c r="B59" s="40"/>
      <c r="C59" s="40"/>
      <c r="D59" s="41"/>
      <c r="E59" s="42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2.75" customHeight="1">
      <c r="A60" s="39"/>
      <c r="B60" s="40"/>
      <c r="C60" s="40"/>
      <c r="D60" s="41"/>
      <c r="E60" s="42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2.75" customHeight="1">
      <c r="A61" s="39"/>
      <c r="B61" s="40"/>
      <c r="C61" s="40"/>
      <c r="D61" s="41"/>
      <c r="E61" s="42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2.75" customHeight="1">
      <c r="A62" s="62"/>
      <c r="B62" s="40"/>
      <c r="C62" s="40"/>
      <c r="D62" s="41"/>
      <c r="E62" s="42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2.75" customHeight="1">
      <c r="A63" s="39"/>
      <c r="B63" s="40"/>
      <c r="C63" s="40"/>
      <c r="D63" s="41"/>
      <c r="E63" s="42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2.75" customHeight="1">
      <c r="A64" s="39"/>
      <c r="B64" s="40"/>
      <c r="C64" s="40"/>
      <c r="D64" s="41"/>
      <c r="E64" s="42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2.75" customHeight="1">
      <c r="A65" s="39"/>
      <c r="B65" s="40"/>
      <c r="C65" s="40"/>
      <c r="D65" s="41"/>
      <c r="E65" s="42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2.75" customHeight="1">
      <c r="A66" s="39"/>
      <c r="B66" s="40"/>
      <c r="C66" s="40"/>
      <c r="D66" s="41"/>
      <c r="E66" s="42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2.75" customHeight="1">
      <c r="A67" s="39"/>
      <c r="B67" s="40"/>
      <c r="C67" s="40"/>
      <c r="D67" s="41"/>
      <c r="E67" s="42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2.75" customHeight="1">
      <c r="A68" s="39"/>
      <c r="B68" s="40"/>
      <c r="C68" s="40"/>
      <c r="D68" s="41"/>
      <c r="E68" s="42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2.75" customHeight="1">
      <c r="A69" s="39"/>
      <c r="B69" s="40"/>
      <c r="C69" s="40"/>
      <c r="D69" s="41"/>
      <c r="E69" s="42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2.75" customHeight="1">
      <c r="A70" s="39"/>
      <c r="B70" s="40"/>
      <c r="C70" s="40"/>
      <c r="D70" s="41"/>
      <c r="E70" s="42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2.75" customHeight="1">
      <c r="A71" s="58"/>
      <c r="B71" s="40"/>
      <c r="C71" s="40"/>
      <c r="D71" s="41"/>
      <c r="E71" s="42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2.75" customHeight="1">
      <c r="A72" s="58"/>
      <c r="B72" s="40"/>
      <c r="C72" s="40"/>
      <c r="D72" s="41"/>
      <c r="E72" s="42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2.75" customHeight="1">
      <c r="A73" s="39"/>
      <c r="B73" s="40"/>
      <c r="C73" s="40"/>
      <c r="D73" s="41"/>
      <c r="E73" s="42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2.75" customHeight="1">
      <c r="A74" s="39"/>
      <c r="B74" s="40"/>
      <c r="C74" s="40"/>
      <c r="D74" s="41"/>
      <c r="E74" s="42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2.75" customHeight="1">
      <c r="A75" s="39"/>
      <c r="B75" s="40"/>
      <c r="C75" s="40"/>
      <c r="D75" s="41"/>
      <c r="E75" s="42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2.75" customHeight="1">
      <c r="A76" s="39"/>
      <c r="B76" s="40"/>
      <c r="C76" s="40"/>
      <c r="D76" s="41"/>
      <c r="E76" s="42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2.75" customHeight="1">
      <c r="A77" s="39"/>
      <c r="B77" s="40"/>
      <c r="C77" s="40"/>
      <c r="D77" s="41"/>
      <c r="E77" s="42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2.75" customHeight="1">
      <c r="A78" s="39"/>
      <c r="B78" s="40"/>
      <c r="C78" s="40"/>
      <c r="D78" s="41"/>
      <c r="E78" s="42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2.75" customHeight="1">
      <c r="A79" s="39"/>
      <c r="B79" s="40"/>
      <c r="C79" s="40"/>
      <c r="D79" s="41"/>
      <c r="E79" s="42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2.75" customHeight="1">
      <c r="A80" s="39"/>
      <c r="B80" s="40"/>
      <c r="C80" s="40"/>
      <c r="D80" s="41"/>
      <c r="E80" s="42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2.75" customHeight="1">
      <c r="A81" s="39"/>
      <c r="B81" s="40"/>
      <c r="C81" s="40"/>
      <c r="D81" s="41"/>
      <c r="E81" s="42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2.75" customHeight="1">
      <c r="A82" s="39"/>
      <c r="B82" s="40"/>
      <c r="C82" s="40"/>
      <c r="D82" s="41"/>
      <c r="E82" s="42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2.75" customHeight="1">
      <c r="A83" s="39"/>
      <c r="B83" s="40"/>
      <c r="C83" s="40"/>
      <c r="D83" s="41"/>
      <c r="E83" s="42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2.75" customHeight="1">
      <c r="A84" s="39"/>
      <c r="B84" s="40"/>
      <c r="C84" s="40"/>
      <c r="D84" s="41"/>
      <c r="E84" s="42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2.75" customHeight="1">
      <c r="A85" s="39"/>
      <c r="B85" s="40"/>
      <c r="C85" s="40"/>
      <c r="D85" s="41"/>
      <c r="E85" s="42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2.75" customHeight="1">
      <c r="A86" s="39"/>
      <c r="B86" s="40"/>
      <c r="C86" s="40"/>
      <c r="D86" s="41"/>
      <c r="E86" s="42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2.75" customHeight="1">
      <c r="A87" s="39"/>
      <c r="B87" s="40"/>
      <c r="C87" s="40"/>
      <c r="D87" s="41"/>
      <c r="E87" s="42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2.75" customHeight="1">
      <c r="A88" s="39"/>
      <c r="B88" s="40"/>
      <c r="C88" s="40"/>
      <c r="D88" s="41"/>
      <c r="E88" s="42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2.75" customHeight="1">
      <c r="A89" s="39"/>
      <c r="B89" s="40"/>
      <c r="C89" s="40"/>
      <c r="D89" s="41"/>
      <c r="E89" s="42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2.75" customHeight="1">
      <c r="A90" s="39"/>
      <c r="B90" s="40"/>
      <c r="C90" s="40"/>
      <c r="D90" s="41"/>
      <c r="E90" s="42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2.75" customHeight="1">
      <c r="A91" s="39"/>
      <c r="B91" s="40"/>
      <c r="C91" s="40"/>
      <c r="D91" s="41"/>
      <c r="E91" s="42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2.75" customHeight="1">
      <c r="A92" s="39"/>
      <c r="B92" s="40"/>
      <c r="C92" s="40"/>
      <c r="D92" s="41"/>
      <c r="E92" s="42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2.75" customHeight="1">
      <c r="A93" s="39"/>
      <c r="B93" s="40"/>
      <c r="C93" s="40"/>
      <c r="D93" s="41"/>
      <c r="E93" s="42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2.75" customHeight="1">
      <c r="A94" s="39"/>
      <c r="B94" s="40"/>
      <c r="C94" s="40"/>
      <c r="D94" s="41"/>
      <c r="E94" s="42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2.75" customHeight="1">
      <c r="A95" s="39"/>
      <c r="B95" s="40"/>
      <c r="C95" s="40"/>
      <c r="D95" s="41"/>
      <c r="E95" s="42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2.75" customHeight="1">
      <c r="A96" s="39"/>
      <c r="B96" s="40"/>
      <c r="C96" s="40"/>
      <c r="D96" s="41"/>
      <c r="E96" s="42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2.75" customHeight="1">
      <c r="A97" s="39"/>
      <c r="B97" s="40"/>
      <c r="C97" s="40"/>
      <c r="D97" s="41"/>
      <c r="E97" s="42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2.75" customHeight="1">
      <c r="A98" s="39"/>
      <c r="B98" s="40"/>
      <c r="C98" s="40"/>
      <c r="D98" s="41"/>
      <c r="E98" s="42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2.75" customHeight="1">
      <c r="A99" s="39"/>
      <c r="B99" s="40"/>
      <c r="C99" s="40"/>
      <c r="D99" s="41"/>
      <c r="E99" s="42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2.75" customHeight="1">
      <c r="A100" s="39"/>
      <c r="B100" s="40"/>
      <c r="C100" s="40"/>
      <c r="D100" s="41"/>
      <c r="E100" s="42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2.75" customHeight="1">
      <c r="A101" s="39"/>
      <c r="B101" s="40"/>
      <c r="C101" s="40"/>
      <c r="D101" s="41"/>
      <c r="E101" s="42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2.75" customHeight="1">
      <c r="A102" s="39"/>
      <c r="B102" s="40"/>
      <c r="C102" s="40"/>
      <c r="D102" s="41"/>
      <c r="E102" s="42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2.75" customHeight="1">
      <c r="A103" s="39"/>
      <c r="B103" s="40"/>
      <c r="C103" s="40"/>
      <c r="D103" s="41"/>
      <c r="E103" s="42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2.75" customHeight="1">
      <c r="A104" s="39"/>
      <c r="B104" s="40"/>
      <c r="C104" s="40"/>
      <c r="D104" s="41"/>
      <c r="E104" s="42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2.75" customHeight="1">
      <c r="A105" s="39"/>
      <c r="B105" s="40"/>
      <c r="C105" s="40"/>
      <c r="D105" s="41"/>
      <c r="E105" s="42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2.75" customHeight="1">
      <c r="A106" s="39"/>
      <c r="B106" s="40"/>
      <c r="C106" s="40"/>
      <c r="D106" s="41"/>
      <c r="E106" s="42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2.75" customHeight="1">
      <c r="A107" s="39"/>
      <c r="B107" s="40"/>
      <c r="C107" s="40"/>
      <c r="D107" s="41"/>
      <c r="E107" s="42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2.75" customHeight="1">
      <c r="A108" s="39"/>
      <c r="B108" s="40"/>
      <c r="C108" s="40"/>
      <c r="D108" s="41"/>
      <c r="E108" s="42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2.75" customHeight="1">
      <c r="A109" s="39"/>
      <c r="B109" s="40"/>
      <c r="C109" s="40"/>
      <c r="D109" s="41"/>
      <c r="E109" s="42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2.75" customHeight="1">
      <c r="A110" s="39"/>
      <c r="B110" s="40"/>
      <c r="C110" s="40"/>
      <c r="D110" s="41"/>
      <c r="E110" s="42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2.75" customHeight="1">
      <c r="A111" s="39"/>
      <c r="B111" s="40"/>
      <c r="C111" s="40"/>
      <c r="D111" s="41"/>
      <c r="E111" s="42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2.75" customHeight="1">
      <c r="A112" s="39"/>
      <c r="B112" s="40"/>
      <c r="C112" s="40"/>
      <c r="D112" s="41"/>
      <c r="E112" s="42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2.75" customHeight="1">
      <c r="A113" s="39"/>
      <c r="B113" s="40"/>
      <c r="C113" s="40"/>
      <c r="D113" s="41"/>
      <c r="E113" s="42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2.75" customHeight="1">
      <c r="A114" s="39"/>
      <c r="B114" s="40"/>
      <c r="C114" s="40"/>
      <c r="D114" s="41"/>
      <c r="E114" s="42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2.75" customHeight="1">
      <c r="A115" s="39"/>
      <c r="B115" s="40"/>
      <c r="C115" s="40"/>
      <c r="D115" s="41"/>
      <c r="E115" s="42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2.75" customHeight="1">
      <c r="A116" s="39"/>
      <c r="B116" s="40"/>
      <c r="C116" s="40"/>
      <c r="D116" s="41"/>
      <c r="E116" s="42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2.75" customHeight="1">
      <c r="A117" s="39"/>
      <c r="B117" s="40"/>
      <c r="C117" s="40"/>
      <c r="D117" s="41"/>
      <c r="E117" s="42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2.75" customHeight="1">
      <c r="A118" s="39"/>
      <c r="B118" s="40"/>
      <c r="C118" s="40"/>
      <c r="D118" s="41"/>
      <c r="E118" s="42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2.75" customHeight="1">
      <c r="A119" s="39"/>
      <c r="B119" s="40"/>
      <c r="C119" s="40"/>
      <c r="D119" s="41"/>
      <c r="E119" s="42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2.75" customHeight="1">
      <c r="A120" s="39"/>
      <c r="B120" s="40"/>
      <c r="C120" s="40"/>
      <c r="D120" s="41"/>
      <c r="E120" s="42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2.75" customHeight="1">
      <c r="A121" s="39"/>
      <c r="B121" s="40"/>
      <c r="C121" s="40"/>
      <c r="D121" s="41"/>
      <c r="E121" s="42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2.75" customHeight="1">
      <c r="A122" s="39"/>
      <c r="B122" s="40"/>
      <c r="C122" s="40"/>
      <c r="D122" s="41"/>
      <c r="E122" s="42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2.75" customHeight="1">
      <c r="A123" s="39"/>
      <c r="B123" s="40"/>
      <c r="C123" s="40"/>
      <c r="D123" s="41"/>
      <c r="E123" s="42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2.75" customHeight="1">
      <c r="A124" s="39"/>
      <c r="B124" s="40"/>
      <c r="C124" s="40"/>
      <c r="D124" s="41"/>
      <c r="E124" s="42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2.75" customHeight="1">
      <c r="A125" s="39"/>
      <c r="B125" s="40"/>
      <c r="C125" s="40"/>
      <c r="D125" s="41"/>
      <c r="E125" s="42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2.75" customHeight="1">
      <c r="A126" s="39"/>
      <c r="B126" s="40"/>
      <c r="C126" s="40"/>
      <c r="D126" s="41"/>
      <c r="E126" s="42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2.75" customHeight="1">
      <c r="A127" s="39"/>
      <c r="B127" s="40"/>
      <c r="C127" s="40"/>
      <c r="D127" s="41"/>
      <c r="E127" s="42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2.75" customHeight="1">
      <c r="A128" s="39"/>
      <c r="B128" s="40"/>
      <c r="C128" s="40"/>
      <c r="D128" s="41"/>
      <c r="E128" s="42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2.75" customHeight="1">
      <c r="A129" s="39"/>
      <c r="B129" s="40"/>
      <c r="C129" s="40"/>
      <c r="D129" s="41"/>
      <c r="E129" s="42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2.75" customHeight="1">
      <c r="A130" s="39"/>
      <c r="B130" s="40"/>
      <c r="C130" s="40"/>
      <c r="D130" s="41"/>
      <c r="E130" s="42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2.75" customHeight="1">
      <c r="A131" s="39"/>
      <c r="B131" s="40"/>
      <c r="C131" s="40"/>
      <c r="D131" s="41"/>
      <c r="E131" s="42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2.75" customHeight="1">
      <c r="A132" s="39"/>
      <c r="B132" s="40"/>
      <c r="C132" s="40"/>
      <c r="D132" s="41"/>
      <c r="E132" s="42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2.75" customHeight="1">
      <c r="A133" s="39"/>
      <c r="B133" s="40"/>
      <c r="C133" s="40"/>
      <c r="D133" s="41"/>
      <c r="E133" s="42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2.75" customHeight="1">
      <c r="A134" s="39"/>
      <c r="B134" s="40"/>
      <c r="C134" s="40"/>
      <c r="D134" s="41"/>
      <c r="E134" s="42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2.75" customHeight="1">
      <c r="A135" s="39"/>
      <c r="B135" s="40"/>
      <c r="C135" s="40"/>
      <c r="D135" s="41"/>
      <c r="E135" s="42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2.75" customHeight="1">
      <c r="A136" s="39"/>
      <c r="B136" s="40"/>
      <c r="C136" s="40"/>
      <c r="D136" s="41"/>
      <c r="E136" s="42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2.75" customHeight="1">
      <c r="A137" s="39"/>
      <c r="B137" s="40"/>
      <c r="C137" s="40"/>
      <c r="D137" s="41"/>
      <c r="E137" s="42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2.75" customHeight="1">
      <c r="A138" s="39"/>
      <c r="B138" s="40"/>
      <c r="C138" s="40"/>
      <c r="D138" s="41"/>
      <c r="E138" s="42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2.75" customHeight="1">
      <c r="A139" s="39"/>
      <c r="B139" s="40"/>
      <c r="C139" s="40"/>
      <c r="D139" s="41"/>
      <c r="E139" s="42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2.75" customHeight="1">
      <c r="A140" s="39"/>
      <c r="B140" s="40"/>
      <c r="C140" s="40"/>
      <c r="D140" s="41"/>
      <c r="E140" s="42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2.75" customHeight="1">
      <c r="A141" s="39"/>
      <c r="B141" s="40"/>
      <c r="C141" s="40"/>
      <c r="D141" s="41"/>
      <c r="E141" s="42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2.75" customHeight="1">
      <c r="A142" s="39"/>
      <c r="B142" s="40"/>
      <c r="C142" s="40"/>
      <c r="D142" s="41"/>
      <c r="E142" s="42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2.75" customHeight="1">
      <c r="A143" s="39"/>
      <c r="B143" s="40"/>
      <c r="C143" s="40"/>
      <c r="D143" s="41"/>
      <c r="E143" s="42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2.75" customHeight="1">
      <c r="A144" s="39"/>
      <c r="B144" s="40"/>
      <c r="C144" s="40"/>
      <c r="D144" s="41"/>
      <c r="E144" s="42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2.75" customHeight="1">
      <c r="A145" s="39"/>
      <c r="B145" s="40"/>
      <c r="C145" s="40"/>
      <c r="D145" s="41"/>
      <c r="E145" s="42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2.75" customHeight="1">
      <c r="A146" s="39"/>
      <c r="B146" s="40"/>
      <c r="C146" s="40"/>
      <c r="D146" s="41"/>
      <c r="E146" s="42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2.75" customHeight="1">
      <c r="A147" s="39"/>
      <c r="B147" s="40"/>
      <c r="C147" s="40"/>
      <c r="D147" s="41"/>
      <c r="E147" s="42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2.75" customHeight="1">
      <c r="A148" s="39"/>
      <c r="B148" s="40"/>
      <c r="C148" s="40"/>
      <c r="D148" s="41"/>
      <c r="E148" s="42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2.75" customHeight="1">
      <c r="A149" s="39"/>
      <c r="B149" s="40"/>
      <c r="C149" s="40"/>
      <c r="D149" s="41"/>
      <c r="E149" s="42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2.75" customHeight="1">
      <c r="A150" s="39"/>
      <c r="B150" s="40"/>
      <c r="C150" s="40"/>
      <c r="D150" s="41"/>
      <c r="E150" s="42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2.75" customHeight="1">
      <c r="A151" s="39"/>
      <c r="B151" s="40"/>
      <c r="C151" s="40"/>
      <c r="D151" s="41"/>
      <c r="E151" s="42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2.75" customHeight="1">
      <c r="A152" s="39"/>
      <c r="B152" s="40"/>
      <c r="C152" s="40"/>
      <c r="D152" s="41"/>
      <c r="E152" s="42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2.75" customHeight="1">
      <c r="A153" s="39"/>
      <c r="B153" s="40"/>
      <c r="C153" s="40"/>
      <c r="D153" s="41"/>
      <c r="E153" s="42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2.75" customHeight="1">
      <c r="A154" s="39"/>
      <c r="B154" s="40"/>
      <c r="C154" s="40"/>
      <c r="D154" s="41"/>
      <c r="E154" s="42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2.75" customHeight="1">
      <c r="A155" s="39"/>
      <c r="B155" s="40"/>
      <c r="C155" s="40"/>
      <c r="D155" s="41"/>
      <c r="E155" s="42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2.75" customHeight="1">
      <c r="A156" s="39"/>
      <c r="B156" s="40"/>
      <c r="C156" s="40"/>
      <c r="D156" s="41"/>
      <c r="E156" s="42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2.75" customHeight="1">
      <c r="A157" s="39"/>
      <c r="B157" s="40"/>
      <c r="C157" s="40"/>
      <c r="D157" s="41"/>
      <c r="E157" s="42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2.75" customHeight="1">
      <c r="A158" s="39"/>
      <c r="B158" s="40"/>
      <c r="C158" s="40"/>
      <c r="D158" s="41"/>
      <c r="E158" s="42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2.75" customHeight="1">
      <c r="A159" s="39"/>
      <c r="B159" s="40"/>
      <c r="C159" s="40"/>
      <c r="D159" s="41"/>
      <c r="E159" s="42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2.75" customHeight="1">
      <c r="A160" s="39"/>
      <c r="B160" s="40"/>
      <c r="C160" s="40"/>
      <c r="D160" s="41"/>
      <c r="E160" s="42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2.75" customHeight="1">
      <c r="A161" s="39"/>
      <c r="B161" s="40"/>
      <c r="C161" s="40"/>
      <c r="D161" s="41"/>
      <c r="E161" s="42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2.75" customHeight="1">
      <c r="A162" s="39"/>
      <c r="B162" s="40"/>
      <c r="C162" s="40"/>
      <c r="D162" s="41"/>
      <c r="E162" s="42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2.75" customHeight="1">
      <c r="A163" s="39"/>
      <c r="B163" s="40"/>
      <c r="C163" s="40"/>
      <c r="D163" s="41"/>
      <c r="E163" s="42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2.75" customHeight="1">
      <c r="A164" s="39"/>
      <c r="B164" s="40"/>
      <c r="C164" s="40"/>
      <c r="D164" s="41"/>
      <c r="E164" s="42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2.75" customHeight="1">
      <c r="A165" s="39"/>
      <c r="B165" s="40"/>
      <c r="C165" s="40"/>
      <c r="D165" s="41"/>
      <c r="E165" s="42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2.75" customHeight="1">
      <c r="A166" s="39"/>
      <c r="B166" s="40"/>
      <c r="C166" s="40"/>
      <c r="D166" s="41"/>
      <c r="E166" s="42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2.75" customHeight="1">
      <c r="A167" s="39"/>
      <c r="B167" s="40"/>
      <c r="C167" s="40"/>
      <c r="D167" s="41"/>
      <c r="E167" s="42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2.75" customHeight="1">
      <c r="A168" s="39"/>
      <c r="B168" s="40"/>
      <c r="C168" s="40"/>
      <c r="D168" s="41"/>
      <c r="E168" s="42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2.75" customHeight="1">
      <c r="A169" s="39"/>
      <c r="B169" s="40"/>
      <c r="C169" s="40"/>
      <c r="D169" s="41"/>
      <c r="E169" s="42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2.75" customHeight="1">
      <c r="A170" s="39"/>
      <c r="B170" s="40"/>
      <c r="C170" s="40"/>
      <c r="D170" s="41"/>
      <c r="E170" s="42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2.75" customHeight="1">
      <c r="A171" s="39"/>
      <c r="B171" s="40"/>
      <c r="C171" s="40"/>
      <c r="D171" s="41"/>
      <c r="E171" s="42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2.75" customHeight="1">
      <c r="A172" s="39"/>
      <c r="B172" s="40"/>
      <c r="C172" s="40"/>
      <c r="D172" s="41"/>
      <c r="E172" s="42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2.75" customHeight="1">
      <c r="A173" s="39"/>
      <c r="B173" s="40"/>
      <c r="C173" s="40"/>
      <c r="D173" s="41"/>
      <c r="E173" s="42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2.75" customHeight="1">
      <c r="A174" s="39"/>
      <c r="B174" s="40"/>
      <c r="C174" s="40"/>
      <c r="D174" s="41"/>
      <c r="E174" s="42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2.75" customHeight="1">
      <c r="A175" s="39"/>
      <c r="B175" s="40"/>
      <c r="C175" s="40"/>
      <c r="D175" s="41"/>
      <c r="E175" s="42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2.75" customHeight="1">
      <c r="A176" s="39"/>
      <c r="B176" s="40"/>
      <c r="C176" s="40"/>
      <c r="D176" s="41"/>
      <c r="E176" s="42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2.75" customHeight="1">
      <c r="A177" s="39"/>
      <c r="B177" s="40"/>
      <c r="C177" s="40"/>
      <c r="D177" s="41"/>
      <c r="E177" s="42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2.75" customHeight="1">
      <c r="A178" s="39"/>
      <c r="B178" s="40"/>
      <c r="C178" s="40"/>
      <c r="D178" s="41"/>
      <c r="E178" s="42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2.75" customHeight="1">
      <c r="A179" s="39"/>
      <c r="B179" s="40"/>
      <c r="C179" s="40"/>
      <c r="D179" s="41"/>
      <c r="E179" s="42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2.75" customHeight="1">
      <c r="A180" s="39"/>
      <c r="B180" s="40"/>
      <c r="C180" s="40"/>
      <c r="D180" s="41"/>
      <c r="E180" s="42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2.75" customHeight="1">
      <c r="A181" s="39"/>
      <c r="B181" s="40"/>
      <c r="C181" s="40"/>
      <c r="D181" s="41"/>
      <c r="E181" s="42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2.75" customHeight="1">
      <c r="A182" s="39"/>
      <c r="B182" s="40"/>
      <c r="C182" s="40"/>
      <c r="D182" s="41"/>
      <c r="E182" s="42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2.75" customHeight="1">
      <c r="A183" s="39"/>
      <c r="B183" s="40"/>
      <c r="C183" s="40"/>
      <c r="D183" s="41"/>
      <c r="E183" s="42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2.75" customHeight="1">
      <c r="A184" s="39"/>
      <c r="B184" s="40"/>
      <c r="C184" s="40"/>
      <c r="D184" s="41"/>
      <c r="E184" s="42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2.75" customHeight="1">
      <c r="A185" s="39"/>
      <c r="B185" s="40"/>
      <c r="C185" s="40"/>
      <c r="D185" s="41"/>
      <c r="E185" s="42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2.75" customHeight="1">
      <c r="A186" s="39"/>
      <c r="B186" s="40"/>
      <c r="C186" s="40"/>
      <c r="D186" s="41"/>
      <c r="E186" s="42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2.75" customHeight="1">
      <c r="A187" s="39"/>
      <c r="B187" s="40"/>
      <c r="C187" s="40"/>
      <c r="D187" s="41"/>
      <c r="E187" s="42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2.75" customHeight="1">
      <c r="A188" s="39"/>
      <c r="B188" s="40"/>
      <c r="C188" s="40"/>
      <c r="D188" s="41"/>
      <c r="E188" s="42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2.75" customHeight="1">
      <c r="A189" s="39"/>
      <c r="B189" s="40"/>
      <c r="C189" s="40"/>
      <c r="D189" s="41"/>
      <c r="E189" s="42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2.75" customHeight="1">
      <c r="A190" s="39"/>
      <c r="B190" s="40"/>
      <c r="C190" s="40"/>
      <c r="D190" s="41"/>
      <c r="E190" s="42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2.75" customHeight="1">
      <c r="A191" s="39"/>
      <c r="B191" s="40"/>
      <c r="C191" s="40"/>
      <c r="D191" s="41"/>
      <c r="E191" s="42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2.75" customHeight="1">
      <c r="A192" s="39"/>
      <c r="B192" s="40"/>
      <c r="C192" s="40"/>
      <c r="D192" s="41"/>
      <c r="E192" s="42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2.75" customHeight="1">
      <c r="A193" s="39"/>
      <c r="B193" s="40"/>
      <c r="C193" s="40"/>
      <c r="D193" s="41"/>
      <c r="E193" s="42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2.75" customHeight="1">
      <c r="A194" s="39"/>
      <c r="B194" s="40"/>
      <c r="C194" s="40"/>
      <c r="D194" s="41"/>
      <c r="E194" s="42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2.75" customHeight="1">
      <c r="A195" s="39"/>
      <c r="B195" s="40"/>
      <c r="C195" s="40"/>
      <c r="D195" s="41"/>
      <c r="E195" s="42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2.75" customHeight="1">
      <c r="A196" s="39"/>
      <c r="B196" s="40"/>
      <c r="C196" s="40"/>
      <c r="D196" s="41"/>
      <c r="E196" s="42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2.75" customHeight="1">
      <c r="A197" s="39"/>
      <c r="B197" s="40"/>
      <c r="C197" s="40"/>
      <c r="D197" s="41"/>
      <c r="E197" s="42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2.75" customHeight="1">
      <c r="A198" s="39"/>
      <c r="B198" s="40"/>
      <c r="C198" s="40"/>
      <c r="D198" s="41"/>
      <c r="E198" s="42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2.75" customHeight="1">
      <c r="A199" s="39"/>
      <c r="B199" s="40"/>
      <c r="C199" s="40"/>
      <c r="D199" s="41"/>
      <c r="E199" s="42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2.75" customHeight="1">
      <c r="A200" s="39"/>
      <c r="B200" s="40"/>
      <c r="C200" s="40"/>
      <c r="D200" s="41"/>
      <c r="E200" s="42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2.75" customHeight="1">
      <c r="A201" s="39"/>
      <c r="B201" s="40"/>
      <c r="C201" s="40"/>
      <c r="D201" s="41"/>
      <c r="E201" s="42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2.75" customHeight="1">
      <c r="A202" s="39"/>
      <c r="B202" s="40"/>
      <c r="C202" s="40"/>
      <c r="D202" s="41"/>
      <c r="E202" s="42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2.75" customHeight="1">
      <c r="A203" s="39"/>
      <c r="B203" s="40"/>
      <c r="C203" s="40"/>
      <c r="D203" s="41"/>
      <c r="E203" s="42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2.75" customHeight="1">
      <c r="A204" s="39"/>
      <c r="B204" s="40"/>
      <c r="C204" s="40"/>
      <c r="D204" s="41"/>
      <c r="E204" s="42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2.75" customHeight="1">
      <c r="A205" s="39"/>
      <c r="B205" s="40"/>
      <c r="C205" s="40"/>
      <c r="D205" s="41"/>
      <c r="E205" s="42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2.75" customHeight="1">
      <c r="A206" s="39"/>
      <c r="B206" s="40"/>
      <c r="C206" s="40"/>
      <c r="D206" s="41"/>
      <c r="E206" s="42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2.75" customHeight="1">
      <c r="A207" s="39"/>
      <c r="B207" s="40"/>
      <c r="C207" s="40"/>
      <c r="D207" s="41"/>
      <c r="E207" s="42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2.75" customHeight="1">
      <c r="A208" s="39"/>
      <c r="B208" s="40"/>
      <c r="C208" s="40"/>
      <c r="D208" s="41"/>
      <c r="E208" s="42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2.75" customHeight="1">
      <c r="A209" s="39"/>
      <c r="B209" s="40"/>
      <c r="C209" s="40"/>
      <c r="D209" s="41"/>
      <c r="E209" s="42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2.75" customHeight="1">
      <c r="A210" s="39"/>
      <c r="B210" s="40"/>
      <c r="C210" s="40"/>
      <c r="D210" s="41"/>
      <c r="E210" s="42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2.75" customHeight="1">
      <c r="A211" s="39"/>
      <c r="B211" s="40"/>
      <c r="C211" s="40"/>
      <c r="D211" s="41"/>
      <c r="E211" s="42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2.75" customHeight="1">
      <c r="A212" s="39"/>
      <c r="B212" s="40"/>
      <c r="C212" s="40"/>
      <c r="D212" s="41"/>
      <c r="E212" s="42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2.75" customHeight="1">
      <c r="A213" s="39"/>
      <c r="B213" s="40"/>
      <c r="C213" s="40"/>
      <c r="D213" s="41"/>
      <c r="E213" s="42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2.75" customHeight="1">
      <c r="A214" s="39"/>
      <c r="B214" s="40"/>
      <c r="C214" s="40"/>
      <c r="D214" s="41"/>
      <c r="E214" s="42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2.75" customHeight="1">
      <c r="A215" s="39"/>
      <c r="B215" s="40"/>
      <c r="C215" s="40"/>
      <c r="D215" s="41"/>
      <c r="E215" s="42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2.75" customHeight="1">
      <c r="A216" s="39"/>
      <c r="B216" s="40"/>
      <c r="C216" s="40"/>
      <c r="D216" s="41"/>
      <c r="E216" s="42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2.75" customHeight="1">
      <c r="A217" s="39"/>
      <c r="B217" s="40"/>
      <c r="C217" s="40"/>
      <c r="D217" s="41"/>
      <c r="E217" s="42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2.75" customHeight="1">
      <c r="A218" s="39"/>
      <c r="B218" s="40"/>
      <c r="C218" s="40"/>
      <c r="D218" s="41"/>
      <c r="E218" s="42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2.75" customHeight="1">
      <c r="A219" s="39"/>
      <c r="B219" s="40"/>
      <c r="C219" s="40"/>
      <c r="D219" s="41"/>
      <c r="E219" s="42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2.75" customHeight="1">
      <c r="A220" s="39"/>
      <c r="B220" s="40"/>
      <c r="C220" s="40"/>
      <c r="D220" s="41"/>
      <c r="E220" s="42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2.75" customHeight="1">
      <c r="A221" s="39"/>
      <c r="B221" s="40"/>
      <c r="C221" s="40"/>
      <c r="D221" s="41"/>
      <c r="E221" s="42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2.75" customHeight="1">
      <c r="A222" s="39"/>
      <c r="B222" s="40"/>
      <c r="C222" s="40"/>
      <c r="D222" s="41"/>
      <c r="E222" s="42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2.75" customHeight="1">
      <c r="A223" s="39"/>
      <c r="B223" s="40"/>
      <c r="C223" s="40"/>
      <c r="D223" s="41"/>
      <c r="E223" s="42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2.75" customHeight="1">
      <c r="A224" s="39"/>
      <c r="B224" s="40"/>
      <c r="C224" s="40"/>
      <c r="D224" s="41"/>
      <c r="E224" s="42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2.75" customHeight="1">
      <c r="A225" s="39"/>
      <c r="B225" s="40"/>
      <c r="C225" s="40"/>
      <c r="D225" s="41"/>
      <c r="E225" s="42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2.75" customHeight="1">
      <c r="A226" s="63"/>
      <c r="B226" s="64"/>
      <c r="C226" s="35"/>
      <c r="D226" s="41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2.75" customHeight="1">
      <c r="A227" s="63"/>
      <c r="B227" s="64"/>
      <c r="C227" s="35"/>
      <c r="D227" s="41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2.75" customHeight="1">
      <c r="A228" s="63"/>
      <c r="B228" s="64"/>
      <c r="C228" s="35"/>
      <c r="D228" s="41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2.75" customHeight="1">
      <c r="A229" s="63"/>
      <c r="B229" s="64"/>
      <c r="C229" s="35"/>
      <c r="D229" s="41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2.75" customHeight="1">
      <c r="A230" s="63"/>
      <c r="B230" s="64"/>
      <c r="C230" s="35"/>
      <c r="D230" s="41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2.75" customHeight="1">
      <c r="A231" s="63"/>
      <c r="B231" s="64"/>
      <c r="C231" s="35"/>
      <c r="D231" s="41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2.75" customHeight="1">
      <c r="A232" s="63"/>
      <c r="B232" s="64"/>
      <c r="C232" s="35"/>
      <c r="D232" s="41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2.75" customHeight="1">
      <c r="A233" s="63"/>
      <c r="B233" s="64"/>
      <c r="C233" s="35"/>
      <c r="D233" s="41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2.75" customHeight="1">
      <c r="A234" s="63"/>
      <c r="B234" s="64"/>
      <c r="C234" s="35"/>
      <c r="D234" s="41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2.75" customHeight="1">
      <c r="A235" s="63"/>
      <c r="B235" s="64"/>
      <c r="C235" s="35"/>
      <c r="D235" s="41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2.75" customHeight="1">
      <c r="A236" s="63"/>
      <c r="B236" s="64"/>
      <c r="C236" s="35"/>
      <c r="D236" s="41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2.75" customHeight="1">
      <c r="A237" s="63"/>
      <c r="B237" s="64"/>
      <c r="C237" s="35"/>
      <c r="D237" s="41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2.75" customHeight="1">
      <c r="A238" s="63"/>
      <c r="B238" s="64"/>
      <c r="C238" s="35"/>
      <c r="D238" s="41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2.75" customHeight="1">
      <c r="A239" s="63"/>
      <c r="B239" s="64"/>
      <c r="C239" s="35"/>
      <c r="D239" s="41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2.75" customHeight="1">
      <c r="A240" s="63"/>
      <c r="B240" s="64"/>
      <c r="C240" s="35"/>
      <c r="D240" s="41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2.75" customHeight="1">
      <c r="A241" s="63"/>
      <c r="B241" s="64"/>
      <c r="C241" s="35"/>
      <c r="D241" s="41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2.75" customHeight="1">
      <c r="A242" s="63"/>
      <c r="B242" s="64"/>
      <c r="C242" s="35"/>
      <c r="D242" s="41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2.75" customHeight="1">
      <c r="A243" s="63"/>
      <c r="B243" s="64"/>
      <c r="C243" s="35"/>
      <c r="D243" s="41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2.75" customHeight="1">
      <c r="A244" s="63"/>
      <c r="B244" s="64"/>
      <c r="C244" s="35"/>
      <c r="D244" s="41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2.75" customHeight="1">
      <c r="A245" s="63"/>
      <c r="B245" s="64"/>
      <c r="C245" s="35"/>
      <c r="D245" s="41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2.75" customHeight="1">
      <c r="A246" s="63"/>
      <c r="B246" s="64"/>
      <c r="C246" s="35"/>
      <c r="D246" s="41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2.75" customHeight="1">
      <c r="A247" s="63"/>
      <c r="B247" s="64"/>
      <c r="C247" s="35"/>
      <c r="D247" s="41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2.75" customHeight="1">
      <c r="A248" s="63"/>
      <c r="B248" s="64"/>
      <c r="C248" s="35"/>
      <c r="D248" s="41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2.75" customHeight="1">
      <c r="A249" s="63"/>
      <c r="B249" s="64"/>
      <c r="C249" s="35"/>
      <c r="D249" s="41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2.75" customHeight="1">
      <c r="A250" s="63"/>
      <c r="B250" s="64"/>
      <c r="C250" s="35"/>
      <c r="D250" s="41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2.75" customHeight="1">
      <c r="A251" s="63"/>
      <c r="B251" s="64"/>
      <c r="C251" s="35"/>
      <c r="D251" s="41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2.75" customHeight="1">
      <c r="A252" s="63"/>
      <c r="B252" s="64"/>
      <c r="C252" s="35"/>
      <c r="D252" s="41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2.75" customHeight="1">
      <c r="A253" s="63"/>
      <c r="B253" s="64"/>
      <c r="C253" s="35"/>
      <c r="D253" s="41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2.75" customHeight="1">
      <c r="A254" s="63"/>
      <c r="B254" s="64"/>
      <c r="C254" s="35"/>
      <c r="D254" s="41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2.75" customHeight="1">
      <c r="A255" s="63"/>
      <c r="B255" s="64"/>
      <c r="C255" s="35"/>
      <c r="D255" s="41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2.75" customHeight="1">
      <c r="A256" s="63"/>
      <c r="B256" s="64"/>
      <c r="C256" s="35"/>
      <c r="D256" s="41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2.75" customHeight="1">
      <c r="A257" s="63"/>
      <c r="B257" s="64"/>
      <c r="C257" s="35"/>
      <c r="D257" s="41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2.75" customHeight="1">
      <c r="A258" s="63"/>
      <c r="B258" s="64"/>
      <c r="C258" s="35"/>
      <c r="D258" s="41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2.75" customHeight="1">
      <c r="A259" s="63"/>
      <c r="B259" s="64"/>
      <c r="C259" s="35"/>
      <c r="D259" s="41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2.75" customHeight="1">
      <c r="A260" s="63"/>
      <c r="B260" s="64"/>
      <c r="C260" s="35"/>
      <c r="D260" s="41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2.75" customHeight="1">
      <c r="A261" s="63"/>
      <c r="B261" s="64"/>
      <c r="C261" s="35"/>
      <c r="D261" s="41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2.75" customHeight="1">
      <c r="A262" s="63"/>
      <c r="B262" s="64"/>
      <c r="C262" s="35"/>
      <c r="D262" s="41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2.75" customHeight="1">
      <c r="A263" s="63"/>
      <c r="B263" s="64"/>
      <c r="C263" s="35"/>
      <c r="D263" s="41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2.75" customHeight="1">
      <c r="A264" s="63"/>
      <c r="B264" s="64"/>
      <c r="C264" s="35"/>
      <c r="D264" s="41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2.75" customHeight="1">
      <c r="A265" s="63"/>
      <c r="B265" s="64"/>
      <c r="C265" s="35"/>
      <c r="D265" s="41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2.75" customHeight="1">
      <c r="A266" s="63"/>
      <c r="B266" s="64"/>
      <c r="C266" s="35"/>
      <c r="D266" s="41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2.75" customHeight="1">
      <c r="A267" s="63"/>
      <c r="B267" s="64"/>
      <c r="C267" s="35"/>
      <c r="D267" s="41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2.75" customHeight="1">
      <c r="A268" s="63"/>
      <c r="B268" s="64"/>
      <c r="C268" s="35"/>
      <c r="D268" s="41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2.75" customHeight="1">
      <c r="A269" s="63"/>
      <c r="B269" s="64"/>
      <c r="C269" s="35"/>
      <c r="D269" s="41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2.75" customHeight="1">
      <c r="A270" s="63"/>
      <c r="B270" s="64"/>
      <c r="C270" s="35"/>
      <c r="D270" s="41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2.75" customHeight="1">
      <c r="A271" s="63"/>
      <c r="B271" s="64"/>
      <c r="C271" s="35"/>
      <c r="D271" s="41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2.75" customHeight="1">
      <c r="A272" s="63"/>
      <c r="B272" s="64"/>
      <c r="C272" s="35"/>
      <c r="D272" s="41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2.75" customHeight="1">
      <c r="A273" s="63"/>
      <c r="B273" s="64"/>
      <c r="C273" s="35"/>
      <c r="D273" s="41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2.75" customHeight="1">
      <c r="A274" s="63"/>
      <c r="B274" s="64"/>
      <c r="C274" s="35"/>
      <c r="D274" s="41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2.75" customHeight="1">
      <c r="A275" s="63"/>
      <c r="B275" s="64"/>
      <c r="C275" s="35"/>
      <c r="D275" s="41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2.75" customHeight="1">
      <c r="A276" s="63"/>
      <c r="B276" s="64"/>
      <c r="C276" s="35"/>
      <c r="D276" s="41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2.75" customHeight="1">
      <c r="A277" s="63"/>
      <c r="B277" s="64"/>
      <c r="C277" s="35"/>
      <c r="D277" s="41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2.75" customHeight="1">
      <c r="A278" s="63"/>
      <c r="B278" s="64"/>
      <c r="C278" s="35"/>
      <c r="D278" s="41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2.75" customHeight="1">
      <c r="A279" s="63"/>
      <c r="B279" s="64"/>
      <c r="C279" s="35"/>
      <c r="D279" s="41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2.75" customHeight="1">
      <c r="A280" s="63"/>
      <c r="B280" s="64"/>
      <c r="C280" s="35"/>
      <c r="D280" s="41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2.75" customHeight="1">
      <c r="A281" s="63"/>
      <c r="B281" s="64"/>
      <c r="C281" s="35"/>
      <c r="D281" s="41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2.75" customHeight="1">
      <c r="A282" s="63"/>
      <c r="B282" s="64"/>
      <c r="C282" s="35"/>
      <c r="D282" s="41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2.75" customHeight="1">
      <c r="A283" s="63"/>
      <c r="B283" s="64"/>
      <c r="C283" s="35"/>
      <c r="D283" s="41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2.75" customHeight="1">
      <c r="A284" s="63"/>
      <c r="B284" s="64"/>
      <c r="C284" s="35"/>
      <c r="D284" s="41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2.75" customHeight="1">
      <c r="A285" s="63"/>
      <c r="B285" s="64"/>
      <c r="C285" s="35"/>
      <c r="D285" s="41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2.75" customHeight="1">
      <c r="A286" s="63"/>
      <c r="B286" s="64"/>
      <c r="C286" s="35"/>
      <c r="D286" s="41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2.75" customHeight="1">
      <c r="A287" s="63"/>
      <c r="B287" s="64"/>
      <c r="C287" s="35"/>
      <c r="D287" s="41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2.75" customHeight="1">
      <c r="A288" s="63"/>
      <c r="B288" s="64"/>
      <c r="C288" s="35"/>
      <c r="D288" s="41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2.75" customHeight="1">
      <c r="A289" s="63"/>
      <c r="B289" s="64"/>
      <c r="C289" s="35"/>
      <c r="D289" s="41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2.75" customHeight="1">
      <c r="A290" s="63"/>
      <c r="B290" s="64"/>
      <c r="C290" s="35"/>
      <c r="D290" s="41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2.75" customHeight="1">
      <c r="A291" s="63"/>
      <c r="B291" s="64"/>
      <c r="C291" s="35"/>
      <c r="D291" s="41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2.75" customHeight="1">
      <c r="A292" s="63"/>
      <c r="B292" s="64"/>
      <c r="C292" s="35"/>
      <c r="D292" s="41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2.75" customHeight="1">
      <c r="A293" s="63"/>
      <c r="B293" s="64"/>
      <c r="C293" s="35"/>
      <c r="D293" s="41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2.75" customHeight="1">
      <c r="A294" s="63"/>
      <c r="B294" s="64"/>
      <c r="C294" s="35"/>
      <c r="D294" s="41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2.75" customHeight="1">
      <c r="A295" s="63"/>
      <c r="B295" s="64"/>
      <c r="C295" s="35"/>
      <c r="D295" s="41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2.75" customHeight="1">
      <c r="A296" s="63"/>
      <c r="B296" s="64"/>
      <c r="C296" s="35"/>
      <c r="D296" s="41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2.75" customHeight="1">
      <c r="A297" s="63"/>
      <c r="B297" s="64"/>
      <c r="C297" s="35"/>
      <c r="D297" s="41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2.75" customHeight="1">
      <c r="A298" s="63"/>
      <c r="B298" s="64"/>
      <c r="C298" s="35"/>
      <c r="D298" s="41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2.75" customHeight="1">
      <c r="A299" s="63"/>
      <c r="B299" s="64"/>
      <c r="C299" s="35"/>
      <c r="D299" s="41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2.75" customHeight="1">
      <c r="A300" s="63"/>
      <c r="B300" s="64"/>
      <c r="C300" s="35"/>
      <c r="D300" s="41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2.75" customHeight="1">
      <c r="A301" s="63"/>
      <c r="B301" s="64"/>
      <c r="C301" s="35"/>
      <c r="D301" s="41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2.75" customHeight="1">
      <c r="A302" s="63"/>
      <c r="B302" s="64"/>
      <c r="C302" s="35"/>
      <c r="D302" s="41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2.75" customHeight="1">
      <c r="A303" s="63"/>
      <c r="B303" s="64"/>
      <c r="C303" s="35"/>
      <c r="D303" s="41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2.75" customHeight="1">
      <c r="A304" s="63"/>
      <c r="B304" s="64"/>
      <c r="C304" s="35"/>
      <c r="D304" s="41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2.75" customHeight="1">
      <c r="A305" s="63"/>
      <c r="B305" s="64"/>
      <c r="C305" s="35"/>
      <c r="D305" s="41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2.75" customHeight="1">
      <c r="A306" s="63"/>
      <c r="B306" s="64"/>
      <c r="C306" s="35"/>
      <c r="D306" s="41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2.75" customHeight="1">
      <c r="A307" s="63"/>
      <c r="B307" s="64"/>
      <c r="C307" s="35"/>
      <c r="D307" s="41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2.75" customHeight="1">
      <c r="A308" s="63"/>
      <c r="B308" s="64"/>
      <c r="C308" s="35"/>
      <c r="D308" s="41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2.75" customHeight="1">
      <c r="A309" s="63"/>
      <c r="B309" s="64"/>
      <c r="C309" s="35"/>
      <c r="D309" s="41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2.75" customHeight="1">
      <c r="A310" s="63"/>
      <c r="B310" s="64"/>
      <c r="C310" s="35"/>
      <c r="D310" s="41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2.75" customHeight="1">
      <c r="A311" s="63"/>
      <c r="B311" s="64"/>
      <c r="C311" s="35"/>
      <c r="D311" s="41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2.75" customHeight="1">
      <c r="A312" s="63"/>
      <c r="B312" s="64"/>
      <c r="C312" s="35"/>
      <c r="D312" s="41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2.75" customHeight="1">
      <c r="A313" s="63"/>
      <c r="B313" s="64"/>
      <c r="C313" s="35"/>
      <c r="D313" s="41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2.75" customHeight="1">
      <c r="A314" s="63"/>
      <c r="B314" s="64"/>
      <c r="C314" s="35"/>
      <c r="D314" s="41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2.75" customHeight="1">
      <c r="A315" s="63"/>
      <c r="B315" s="64"/>
      <c r="C315" s="35"/>
      <c r="D315" s="41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2.75" customHeight="1">
      <c r="A316" s="63"/>
      <c r="B316" s="64"/>
      <c r="C316" s="35"/>
      <c r="D316" s="41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2.75" customHeight="1">
      <c r="A317" s="63"/>
      <c r="B317" s="64"/>
      <c r="C317" s="35"/>
      <c r="D317" s="41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2.75" customHeight="1">
      <c r="A318" s="63"/>
      <c r="B318" s="64"/>
      <c r="C318" s="35"/>
      <c r="D318" s="41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2.75" customHeight="1">
      <c r="A319" s="63"/>
      <c r="B319" s="64"/>
      <c r="C319" s="35"/>
      <c r="D319" s="41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2.75" customHeight="1">
      <c r="A320" s="63"/>
      <c r="B320" s="64"/>
      <c r="C320" s="35"/>
      <c r="D320" s="41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2.75" customHeight="1">
      <c r="A321" s="63"/>
      <c r="B321" s="64"/>
      <c r="C321" s="35"/>
      <c r="D321" s="41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2.75" customHeight="1">
      <c r="A322" s="63"/>
      <c r="B322" s="64"/>
      <c r="C322" s="35"/>
      <c r="D322" s="41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2.75" customHeight="1">
      <c r="A323" s="63"/>
      <c r="B323" s="64"/>
      <c r="C323" s="35"/>
      <c r="D323" s="41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2.75" customHeight="1">
      <c r="A324" s="63"/>
      <c r="B324" s="64"/>
      <c r="C324" s="35"/>
      <c r="D324" s="41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2.75" customHeight="1">
      <c r="A325" s="63"/>
      <c r="B325" s="64"/>
      <c r="C325" s="35"/>
      <c r="D325" s="41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2.75" customHeight="1">
      <c r="A326" s="63"/>
      <c r="B326" s="64"/>
      <c r="C326" s="35"/>
      <c r="D326" s="41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2.75" customHeight="1">
      <c r="A327" s="63"/>
      <c r="B327" s="64"/>
      <c r="C327" s="35"/>
      <c r="D327" s="41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2.75" customHeight="1">
      <c r="A328" s="63"/>
      <c r="B328" s="64"/>
      <c r="C328" s="35"/>
      <c r="D328" s="41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2.75" customHeight="1">
      <c r="A329" s="63"/>
      <c r="B329" s="64"/>
      <c r="C329" s="35"/>
      <c r="D329" s="41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2.75" customHeight="1">
      <c r="A330" s="63"/>
      <c r="B330" s="64"/>
      <c r="C330" s="35"/>
      <c r="D330" s="41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2.75" customHeight="1">
      <c r="A331" s="63"/>
      <c r="B331" s="64"/>
      <c r="C331" s="35"/>
      <c r="D331" s="41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2.75" customHeight="1">
      <c r="A332" s="63"/>
      <c r="B332" s="64"/>
      <c r="C332" s="35"/>
      <c r="D332" s="41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2.75" customHeight="1">
      <c r="A333" s="63"/>
      <c r="B333" s="64"/>
      <c r="C333" s="35"/>
      <c r="D333" s="41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2.75" customHeight="1">
      <c r="A334" s="63"/>
      <c r="B334" s="64"/>
      <c r="C334" s="35"/>
      <c r="D334" s="41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2.75" customHeight="1">
      <c r="A335" s="63"/>
      <c r="B335" s="64"/>
      <c r="C335" s="35"/>
      <c r="D335" s="41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2.75" customHeight="1">
      <c r="A336" s="63"/>
      <c r="B336" s="64"/>
      <c r="C336" s="35"/>
      <c r="D336" s="41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2.75" customHeight="1">
      <c r="A337" s="63"/>
      <c r="B337" s="64"/>
      <c r="C337" s="35"/>
      <c r="D337" s="41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2.75" customHeight="1">
      <c r="A338" s="63"/>
      <c r="B338" s="64"/>
      <c r="C338" s="35"/>
      <c r="D338" s="41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2.75" customHeight="1">
      <c r="A339" s="63"/>
      <c r="B339" s="64"/>
      <c r="C339" s="35"/>
      <c r="D339" s="41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2.75" customHeight="1">
      <c r="A340" s="63"/>
      <c r="B340" s="64"/>
      <c r="C340" s="35"/>
      <c r="D340" s="41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2.75" customHeight="1">
      <c r="A341" s="63"/>
      <c r="B341" s="64"/>
      <c r="C341" s="35"/>
      <c r="D341" s="41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2.75" customHeight="1">
      <c r="A342" s="63"/>
      <c r="B342" s="64"/>
      <c r="C342" s="35"/>
      <c r="D342" s="41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2.75" customHeight="1">
      <c r="A343" s="63"/>
      <c r="B343" s="64"/>
      <c r="C343" s="35"/>
      <c r="D343" s="41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2.75" customHeight="1">
      <c r="A344" s="63"/>
      <c r="B344" s="64"/>
      <c r="C344" s="35"/>
      <c r="D344" s="41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2.75" customHeight="1">
      <c r="A345" s="63"/>
      <c r="B345" s="64"/>
      <c r="C345" s="35"/>
      <c r="D345" s="41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2.75" customHeight="1">
      <c r="A346" s="63"/>
      <c r="B346" s="64"/>
      <c r="C346" s="35"/>
      <c r="D346" s="41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2.75" customHeight="1">
      <c r="A347" s="63"/>
      <c r="B347" s="64"/>
      <c r="C347" s="35"/>
      <c r="D347" s="41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2.75" customHeight="1">
      <c r="A348" s="63"/>
      <c r="B348" s="64"/>
      <c r="C348" s="35"/>
      <c r="D348" s="41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2.75" customHeight="1">
      <c r="A349" s="63"/>
      <c r="B349" s="64"/>
      <c r="C349" s="35"/>
      <c r="D349" s="41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2.75" customHeight="1">
      <c r="A350" s="63"/>
      <c r="B350" s="64"/>
      <c r="C350" s="35"/>
      <c r="D350" s="41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2.75" customHeight="1">
      <c r="A351" s="63"/>
      <c r="B351" s="64"/>
      <c r="C351" s="35"/>
      <c r="D351" s="41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2.75" customHeight="1">
      <c r="A352" s="63"/>
      <c r="B352" s="64"/>
      <c r="C352" s="35"/>
      <c r="D352" s="41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2.75" customHeight="1">
      <c r="A353" s="63"/>
      <c r="B353" s="64"/>
      <c r="C353" s="35"/>
      <c r="D353" s="4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2.75" customHeight="1">
      <c r="A354" s="63"/>
      <c r="B354" s="64"/>
      <c r="C354" s="35"/>
      <c r="D354" s="41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2.75" customHeight="1">
      <c r="A355" s="63"/>
      <c r="B355" s="64"/>
      <c r="C355" s="35"/>
      <c r="D355" s="41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2.75" customHeight="1">
      <c r="A356" s="63"/>
      <c r="B356" s="64"/>
      <c r="C356" s="35"/>
      <c r="D356" s="41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2.75" customHeight="1">
      <c r="A357" s="63"/>
      <c r="B357" s="64"/>
      <c r="C357" s="35"/>
      <c r="D357" s="41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2.75" customHeight="1">
      <c r="A358" s="63"/>
      <c r="B358" s="64"/>
      <c r="C358" s="35"/>
      <c r="D358" s="41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2.75" customHeight="1">
      <c r="A359" s="63"/>
      <c r="B359" s="64"/>
      <c r="C359" s="35"/>
      <c r="D359" s="41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2.75" customHeight="1">
      <c r="A360" s="63"/>
      <c r="B360" s="64"/>
      <c r="C360" s="35"/>
      <c r="D360" s="41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2.75" customHeight="1">
      <c r="A361" s="63"/>
      <c r="B361" s="64"/>
      <c r="C361" s="35"/>
      <c r="D361" s="41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2.75" customHeight="1">
      <c r="A362" s="63"/>
      <c r="B362" s="64"/>
      <c r="C362" s="35"/>
      <c r="D362" s="41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2.75" customHeight="1">
      <c r="A363" s="63"/>
      <c r="B363" s="64"/>
      <c r="C363" s="35"/>
      <c r="D363" s="41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2.75" customHeight="1">
      <c r="A364" s="63"/>
      <c r="B364" s="64"/>
      <c r="C364" s="35"/>
      <c r="D364" s="41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2.75" customHeight="1">
      <c r="A365" s="63"/>
      <c r="B365" s="64"/>
      <c r="C365" s="35"/>
      <c r="D365" s="41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2.75" customHeight="1">
      <c r="A366" s="63"/>
      <c r="B366" s="64"/>
      <c r="C366" s="35"/>
      <c r="D366" s="41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2.75" customHeight="1">
      <c r="A367" s="63"/>
      <c r="B367" s="64"/>
      <c r="C367" s="35"/>
      <c r="D367" s="41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2.75" customHeight="1">
      <c r="A368" s="63"/>
      <c r="B368" s="64"/>
      <c r="C368" s="35"/>
      <c r="D368" s="41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2.75" customHeight="1">
      <c r="A369" s="63"/>
      <c r="B369" s="64"/>
      <c r="C369" s="35"/>
      <c r="D369" s="41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2.75" customHeight="1">
      <c r="A370" s="63"/>
      <c r="B370" s="64"/>
      <c r="C370" s="35"/>
      <c r="D370" s="41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2.75" customHeight="1">
      <c r="A371" s="63"/>
      <c r="B371" s="64"/>
      <c r="C371" s="35"/>
      <c r="D371" s="41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2.75" customHeight="1">
      <c r="A372" s="63"/>
      <c r="B372" s="64"/>
      <c r="C372" s="35"/>
      <c r="D372" s="41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2.75" customHeight="1">
      <c r="A373" s="63"/>
      <c r="B373" s="64"/>
      <c r="C373" s="35"/>
      <c r="D373" s="41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2.75" customHeight="1">
      <c r="A374" s="63"/>
      <c r="B374" s="64"/>
      <c r="C374" s="35"/>
      <c r="D374" s="41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2.75" customHeight="1">
      <c r="A375" s="63"/>
      <c r="B375" s="64"/>
      <c r="C375" s="35"/>
      <c r="D375" s="41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2.75" customHeight="1">
      <c r="A376" s="63"/>
      <c r="B376" s="64"/>
      <c r="C376" s="35"/>
      <c r="D376" s="41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2.75" customHeight="1">
      <c r="A377" s="63"/>
      <c r="B377" s="64"/>
      <c r="C377" s="35"/>
      <c r="D377" s="41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2.75" customHeight="1">
      <c r="A378" s="63"/>
      <c r="B378" s="64"/>
      <c r="C378" s="35"/>
      <c r="D378" s="41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2.75" customHeight="1">
      <c r="A379" s="63"/>
      <c r="B379" s="64"/>
      <c r="C379" s="35"/>
      <c r="D379" s="41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2.75" customHeight="1">
      <c r="A380" s="63"/>
      <c r="B380" s="64"/>
      <c r="C380" s="35"/>
      <c r="D380" s="41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2.75" customHeight="1">
      <c r="A381" s="63"/>
      <c r="B381" s="64"/>
      <c r="C381" s="35"/>
      <c r="D381" s="41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2.75" customHeight="1">
      <c r="A382" s="63"/>
      <c r="B382" s="64"/>
      <c r="C382" s="35"/>
      <c r="D382" s="41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2.75" customHeight="1">
      <c r="A383" s="63"/>
      <c r="B383" s="64"/>
      <c r="C383" s="35"/>
      <c r="D383" s="41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2.75" customHeight="1">
      <c r="A384" s="63"/>
      <c r="B384" s="64"/>
      <c r="C384" s="35"/>
      <c r="D384" s="41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2.75" customHeight="1">
      <c r="A385" s="63"/>
      <c r="B385" s="64"/>
      <c r="C385" s="35"/>
      <c r="D385" s="41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2.75" customHeight="1">
      <c r="A386" s="63"/>
      <c r="B386" s="64"/>
      <c r="C386" s="35"/>
      <c r="D386" s="41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2.75" customHeight="1">
      <c r="A387" s="63"/>
      <c r="B387" s="64"/>
      <c r="C387" s="35"/>
      <c r="D387" s="41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2.75" customHeight="1">
      <c r="A388" s="63"/>
      <c r="B388" s="64"/>
      <c r="C388" s="35"/>
      <c r="D388" s="41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2.75" customHeight="1">
      <c r="A389" s="63"/>
      <c r="B389" s="64"/>
      <c r="C389" s="35"/>
      <c r="D389" s="41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2.75" customHeight="1">
      <c r="A390" s="63"/>
      <c r="B390" s="64"/>
      <c r="C390" s="35"/>
      <c r="D390" s="41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2.75" customHeight="1">
      <c r="A391" s="63"/>
      <c r="B391" s="64"/>
      <c r="C391" s="35"/>
      <c r="D391" s="41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2.75" customHeight="1">
      <c r="A392" s="63"/>
      <c r="B392" s="64"/>
      <c r="C392" s="35"/>
      <c r="D392" s="41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2.75" customHeight="1">
      <c r="A393" s="63"/>
      <c r="B393" s="64"/>
      <c r="C393" s="35"/>
      <c r="D393" s="41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2.75" customHeight="1">
      <c r="A394" s="63"/>
      <c r="B394" s="64"/>
      <c r="C394" s="35"/>
      <c r="D394" s="41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2.75" customHeight="1">
      <c r="A395" s="63"/>
      <c r="B395" s="64"/>
      <c r="C395" s="35"/>
      <c r="D395" s="41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2.75" customHeight="1">
      <c r="A396" s="63"/>
      <c r="B396" s="64"/>
      <c r="C396" s="35"/>
      <c r="D396" s="41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2.75" customHeight="1">
      <c r="A397" s="63"/>
      <c r="B397" s="64"/>
      <c r="C397" s="35"/>
      <c r="D397" s="41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2.75" customHeight="1">
      <c r="A398" s="63"/>
      <c r="B398" s="64"/>
      <c r="C398" s="35"/>
      <c r="D398" s="41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2.75" customHeight="1">
      <c r="A399" s="63"/>
      <c r="B399" s="64"/>
      <c r="C399" s="35"/>
      <c r="D399" s="41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2.75" customHeight="1">
      <c r="A400" s="63"/>
      <c r="B400" s="64"/>
      <c r="C400" s="35"/>
      <c r="D400" s="41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2.75" customHeight="1">
      <c r="A401" s="63"/>
      <c r="B401" s="64"/>
      <c r="C401" s="35"/>
      <c r="D401" s="41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2.75" customHeight="1">
      <c r="A402" s="63"/>
      <c r="B402" s="64"/>
      <c r="C402" s="35"/>
      <c r="D402" s="41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2.75" customHeight="1">
      <c r="A403" s="63"/>
      <c r="B403" s="64"/>
      <c r="C403" s="35"/>
      <c r="D403" s="41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2.75" customHeight="1">
      <c r="A404" s="63"/>
      <c r="B404" s="64"/>
      <c r="C404" s="35"/>
      <c r="D404" s="41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2.75" customHeight="1">
      <c r="A405" s="63"/>
      <c r="B405" s="64"/>
      <c r="C405" s="35"/>
      <c r="D405" s="41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2.75" customHeight="1">
      <c r="A406" s="63"/>
      <c r="B406" s="64"/>
      <c r="C406" s="35"/>
      <c r="D406" s="41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2.75" customHeight="1">
      <c r="A407" s="63"/>
      <c r="B407" s="64"/>
      <c r="C407" s="35"/>
      <c r="D407" s="41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2.75" customHeight="1">
      <c r="A408" s="63"/>
      <c r="B408" s="64"/>
      <c r="C408" s="35"/>
      <c r="D408" s="41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2.75" customHeight="1">
      <c r="A409" s="63"/>
      <c r="B409" s="64"/>
      <c r="C409" s="35"/>
      <c r="D409" s="41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2.75" customHeight="1">
      <c r="A410" s="63"/>
      <c r="B410" s="64"/>
      <c r="C410" s="35"/>
      <c r="D410" s="41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2.75" customHeight="1">
      <c r="A411" s="63"/>
      <c r="B411" s="64"/>
      <c r="C411" s="35"/>
      <c r="D411" s="41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2.75" customHeight="1">
      <c r="A412" s="63"/>
      <c r="B412" s="64"/>
      <c r="C412" s="35"/>
      <c r="D412" s="41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2.75" customHeight="1">
      <c r="A413" s="63"/>
      <c r="B413" s="64"/>
      <c r="C413" s="35"/>
      <c r="D413" s="41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2.75" customHeight="1">
      <c r="A414" s="63"/>
      <c r="B414" s="64"/>
      <c r="C414" s="35"/>
      <c r="D414" s="41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2.75" customHeight="1">
      <c r="A415" s="63"/>
      <c r="B415" s="64"/>
      <c r="C415" s="35"/>
      <c r="D415" s="41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2.75" customHeight="1">
      <c r="A416" s="63"/>
      <c r="B416" s="64"/>
      <c r="C416" s="35"/>
      <c r="D416" s="41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2.75" customHeight="1">
      <c r="A417" s="63"/>
      <c r="B417" s="64"/>
      <c r="C417" s="35"/>
      <c r="D417" s="41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2.75" customHeight="1">
      <c r="A418" s="63"/>
      <c r="B418" s="64"/>
      <c r="C418" s="35"/>
      <c r="D418" s="41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2.75" customHeight="1">
      <c r="A419" s="63"/>
      <c r="B419" s="64"/>
      <c r="C419" s="35"/>
      <c r="D419" s="41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2.75" customHeight="1">
      <c r="A420" s="63"/>
      <c r="B420" s="64"/>
      <c r="C420" s="35"/>
      <c r="D420" s="41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2.75" customHeight="1">
      <c r="A421" s="63"/>
      <c r="B421" s="64"/>
      <c r="C421" s="35"/>
      <c r="D421" s="41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2.75" customHeight="1">
      <c r="A422" s="63"/>
      <c r="B422" s="64"/>
      <c r="C422" s="35"/>
      <c r="D422" s="41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2.75" customHeight="1">
      <c r="A423" s="63"/>
      <c r="B423" s="64"/>
      <c r="C423" s="35"/>
      <c r="D423" s="41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2.75" customHeight="1">
      <c r="A424" s="63"/>
      <c r="B424" s="64"/>
      <c r="C424" s="35"/>
      <c r="D424" s="41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2.75" customHeight="1">
      <c r="A425" s="63"/>
      <c r="B425" s="64"/>
      <c r="C425" s="35"/>
      <c r="D425" s="41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2.75" customHeight="1">
      <c r="A426" s="63"/>
      <c r="B426" s="64"/>
      <c r="C426" s="35"/>
      <c r="D426" s="41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2.75" customHeight="1">
      <c r="A427" s="63"/>
      <c r="B427" s="64"/>
      <c r="C427" s="35"/>
      <c r="D427" s="41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2.75" customHeight="1">
      <c r="A428" s="63"/>
      <c r="B428" s="64"/>
      <c r="C428" s="35"/>
      <c r="D428" s="41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2.75" customHeight="1">
      <c r="A429" s="63"/>
      <c r="B429" s="64"/>
      <c r="C429" s="35"/>
      <c r="D429" s="41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2.75" customHeight="1">
      <c r="A430" s="63"/>
      <c r="B430" s="64"/>
      <c r="C430" s="35"/>
      <c r="D430" s="41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2.75" customHeight="1">
      <c r="A431" s="63"/>
      <c r="B431" s="64"/>
      <c r="C431" s="35"/>
      <c r="D431" s="41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2.75" customHeight="1">
      <c r="A432" s="63"/>
      <c r="B432" s="64"/>
      <c r="C432" s="35"/>
      <c r="D432" s="41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2.75" customHeight="1">
      <c r="A433" s="63"/>
      <c r="B433" s="64"/>
      <c r="C433" s="35"/>
      <c r="D433" s="41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2.75" customHeight="1">
      <c r="A434" s="63"/>
      <c r="B434" s="64"/>
      <c r="C434" s="35"/>
      <c r="D434" s="41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2.75" customHeight="1">
      <c r="A435" s="63"/>
      <c r="B435" s="64"/>
      <c r="C435" s="35"/>
      <c r="D435" s="41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2.75" customHeight="1">
      <c r="A436" s="63"/>
      <c r="B436" s="64"/>
      <c r="C436" s="35"/>
      <c r="D436" s="41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2.75" customHeight="1">
      <c r="A437" s="63"/>
      <c r="B437" s="64"/>
      <c r="C437" s="35"/>
      <c r="D437" s="41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2.75" customHeight="1">
      <c r="A438" s="63"/>
      <c r="B438" s="64"/>
      <c r="C438" s="35"/>
      <c r="D438" s="41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2.75" customHeight="1">
      <c r="A439" s="63"/>
      <c r="B439" s="64"/>
      <c r="C439" s="35"/>
      <c r="D439" s="41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2.75" customHeight="1">
      <c r="A440" s="63"/>
      <c r="B440" s="64"/>
      <c r="C440" s="35"/>
      <c r="D440" s="41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2.75" customHeight="1">
      <c r="A441" s="63"/>
      <c r="B441" s="64"/>
      <c r="C441" s="35"/>
      <c r="D441" s="41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2.75" customHeight="1">
      <c r="A442" s="63"/>
      <c r="B442" s="64"/>
      <c r="C442" s="35"/>
      <c r="D442" s="41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2.75" customHeight="1">
      <c r="A443" s="63"/>
      <c r="B443" s="64"/>
      <c r="C443" s="35"/>
      <c r="D443" s="41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2.75" customHeight="1">
      <c r="A444" s="63"/>
      <c r="B444" s="64"/>
      <c r="C444" s="35"/>
      <c r="D444" s="41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2.75" customHeight="1">
      <c r="A445" s="63"/>
      <c r="B445" s="64"/>
      <c r="C445" s="35"/>
      <c r="D445" s="41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2.75" customHeight="1">
      <c r="A446" s="63"/>
      <c r="B446" s="64"/>
      <c r="C446" s="35"/>
      <c r="D446" s="41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2.75" customHeight="1">
      <c r="A447" s="63"/>
      <c r="B447" s="64"/>
      <c r="C447" s="35"/>
      <c r="D447" s="41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2.75" customHeight="1">
      <c r="A448" s="63"/>
      <c r="B448" s="64"/>
      <c r="C448" s="35"/>
      <c r="D448" s="41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2.75" customHeight="1">
      <c r="A449" s="63"/>
      <c r="B449" s="64"/>
      <c r="C449" s="35"/>
      <c r="D449" s="41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2.75" customHeight="1">
      <c r="A450" s="63"/>
      <c r="B450" s="64"/>
      <c r="C450" s="35"/>
      <c r="D450" s="41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2.75" customHeight="1">
      <c r="A451" s="63"/>
      <c r="B451" s="64"/>
      <c r="C451" s="35"/>
      <c r="D451" s="41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2.75" customHeight="1">
      <c r="A452" s="63"/>
      <c r="B452" s="64"/>
      <c r="C452" s="35"/>
      <c r="D452" s="41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2.75" customHeight="1">
      <c r="A453" s="63"/>
      <c r="B453" s="64"/>
      <c r="C453" s="35"/>
      <c r="D453" s="41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2.75" customHeight="1">
      <c r="A454" s="63"/>
      <c r="B454" s="64"/>
      <c r="C454" s="35"/>
      <c r="D454" s="41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2.75" customHeight="1">
      <c r="A455" s="63"/>
      <c r="B455" s="64"/>
      <c r="C455" s="35"/>
      <c r="D455" s="41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2.75" customHeight="1">
      <c r="A456" s="63"/>
      <c r="B456" s="64"/>
      <c r="C456" s="35"/>
      <c r="D456" s="41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2.75" customHeight="1">
      <c r="A457" s="63"/>
      <c r="B457" s="64"/>
      <c r="C457" s="35"/>
      <c r="D457" s="41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2.75" customHeight="1">
      <c r="A458" s="63"/>
      <c r="B458" s="64"/>
      <c r="C458" s="35"/>
      <c r="D458" s="41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2.75" customHeight="1">
      <c r="A459" s="63"/>
      <c r="B459" s="64"/>
      <c r="C459" s="35"/>
      <c r="D459" s="41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2.75" customHeight="1">
      <c r="A460" s="63"/>
      <c r="B460" s="64"/>
      <c r="C460" s="35"/>
      <c r="D460" s="41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2.75" customHeight="1">
      <c r="A461" s="63"/>
      <c r="B461" s="64"/>
      <c r="C461" s="35"/>
      <c r="D461" s="41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2.75" customHeight="1">
      <c r="A462" s="63"/>
      <c r="B462" s="64"/>
      <c r="C462" s="35"/>
      <c r="D462" s="41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2.75" customHeight="1">
      <c r="A463" s="63"/>
      <c r="B463" s="64"/>
      <c r="C463" s="35"/>
      <c r="D463" s="41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2.75" customHeight="1">
      <c r="A464" s="63"/>
      <c r="B464" s="64"/>
      <c r="C464" s="35"/>
      <c r="D464" s="41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2.75" customHeight="1">
      <c r="A465" s="63"/>
      <c r="B465" s="64"/>
      <c r="C465" s="35"/>
      <c r="D465" s="41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2.75" customHeight="1">
      <c r="A466" s="63"/>
      <c r="B466" s="64"/>
      <c r="C466" s="35"/>
      <c r="D466" s="41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2.75" customHeight="1">
      <c r="A467" s="63"/>
      <c r="B467" s="64"/>
      <c r="C467" s="35"/>
      <c r="D467" s="41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2.75" customHeight="1">
      <c r="A468" s="63"/>
      <c r="B468" s="64"/>
      <c r="C468" s="35"/>
      <c r="D468" s="41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2.75" customHeight="1">
      <c r="A469" s="63"/>
      <c r="B469" s="64"/>
      <c r="C469" s="35"/>
      <c r="D469" s="41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2.75" customHeight="1">
      <c r="A470" s="63"/>
      <c r="B470" s="64"/>
      <c r="C470" s="35"/>
      <c r="D470" s="41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2.75" customHeight="1">
      <c r="A471" s="63"/>
      <c r="B471" s="64"/>
      <c r="C471" s="35"/>
      <c r="D471" s="41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2.75" customHeight="1">
      <c r="A472" s="63"/>
      <c r="B472" s="64"/>
      <c r="C472" s="35"/>
      <c r="D472" s="41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2.75" customHeight="1">
      <c r="A473" s="63"/>
      <c r="B473" s="64"/>
      <c r="C473" s="35"/>
      <c r="D473" s="41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2.75" customHeight="1">
      <c r="A474" s="63"/>
      <c r="B474" s="64"/>
      <c r="C474" s="35"/>
      <c r="D474" s="41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2.75" customHeight="1">
      <c r="A475" s="63"/>
      <c r="B475" s="64"/>
      <c r="C475" s="35"/>
      <c r="D475" s="41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2.75" customHeight="1">
      <c r="A476" s="63"/>
      <c r="B476" s="64"/>
      <c r="C476" s="35"/>
      <c r="D476" s="41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2.75" customHeight="1">
      <c r="A477" s="63"/>
      <c r="B477" s="64"/>
      <c r="C477" s="35"/>
      <c r="D477" s="41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2.75" customHeight="1">
      <c r="A478" s="63"/>
      <c r="B478" s="64"/>
      <c r="C478" s="35"/>
      <c r="D478" s="41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2.75" customHeight="1">
      <c r="A479" s="63"/>
      <c r="B479" s="64"/>
      <c r="C479" s="35"/>
      <c r="D479" s="41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2.75" customHeight="1">
      <c r="A480" s="63"/>
      <c r="B480" s="64"/>
      <c r="C480" s="35"/>
      <c r="D480" s="41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2.75" customHeight="1">
      <c r="A481" s="63"/>
      <c r="B481" s="64"/>
      <c r="C481" s="35"/>
      <c r="D481" s="41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2.75" customHeight="1">
      <c r="A482" s="63"/>
      <c r="B482" s="64"/>
      <c r="C482" s="35"/>
      <c r="D482" s="41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2.75" customHeight="1">
      <c r="A483" s="63"/>
      <c r="B483" s="64"/>
      <c r="C483" s="35"/>
      <c r="D483" s="41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2.75" customHeight="1">
      <c r="A484" s="63"/>
      <c r="B484" s="64"/>
      <c r="C484" s="35"/>
      <c r="D484" s="41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2.75" customHeight="1">
      <c r="A485" s="63"/>
      <c r="B485" s="64"/>
      <c r="C485" s="35"/>
      <c r="D485" s="41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2.75" customHeight="1">
      <c r="A486" s="63"/>
      <c r="B486" s="64"/>
      <c r="C486" s="35"/>
      <c r="D486" s="41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2.75" customHeight="1">
      <c r="A487" s="63"/>
      <c r="B487" s="64"/>
      <c r="C487" s="35"/>
      <c r="D487" s="41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2.75" customHeight="1">
      <c r="A488" s="63"/>
      <c r="B488" s="64"/>
      <c r="C488" s="35"/>
      <c r="D488" s="41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2.75" customHeight="1">
      <c r="A489" s="63"/>
      <c r="B489" s="64"/>
      <c r="C489" s="35"/>
      <c r="D489" s="41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2.75" customHeight="1">
      <c r="A490" s="63"/>
      <c r="B490" s="64"/>
      <c r="C490" s="35"/>
      <c r="D490" s="41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2.75" customHeight="1">
      <c r="A491" s="63"/>
      <c r="B491" s="64"/>
      <c r="C491" s="35"/>
      <c r="D491" s="41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2.75" customHeight="1">
      <c r="A492" s="63"/>
      <c r="B492" s="64"/>
      <c r="C492" s="35"/>
      <c r="D492" s="41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2.75" customHeight="1">
      <c r="A493" s="63"/>
      <c r="B493" s="64"/>
      <c r="C493" s="35"/>
      <c r="D493" s="41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2.75" customHeight="1">
      <c r="A494" s="63"/>
      <c r="B494" s="64"/>
      <c r="C494" s="35"/>
      <c r="D494" s="41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2.75" customHeight="1">
      <c r="A495" s="63"/>
      <c r="B495" s="64"/>
      <c r="C495" s="35"/>
      <c r="D495" s="41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2.75" customHeight="1">
      <c r="A496" s="63"/>
      <c r="B496" s="64"/>
      <c r="C496" s="35"/>
      <c r="D496" s="41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2.75" customHeight="1">
      <c r="A497" s="63"/>
      <c r="B497" s="64"/>
      <c r="C497" s="35"/>
      <c r="D497" s="41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2.75" customHeight="1">
      <c r="A498" s="63"/>
      <c r="B498" s="64"/>
      <c r="C498" s="35"/>
      <c r="D498" s="41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2.75" customHeight="1">
      <c r="A499" s="63"/>
      <c r="B499" s="64"/>
      <c r="C499" s="35"/>
      <c r="D499" s="41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2.75" customHeight="1">
      <c r="A500" s="63"/>
      <c r="B500" s="64"/>
      <c r="C500" s="35"/>
      <c r="D500" s="41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2.75" customHeight="1">
      <c r="A501" s="63"/>
      <c r="B501" s="64"/>
      <c r="C501" s="35"/>
      <c r="D501" s="41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2.75" customHeight="1">
      <c r="A502" s="63"/>
      <c r="B502" s="64"/>
      <c r="C502" s="35"/>
      <c r="D502" s="41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2.75" customHeight="1">
      <c r="A503" s="63"/>
      <c r="B503" s="64"/>
      <c r="C503" s="35"/>
      <c r="D503" s="41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2.75" customHeight="1">
      <c r="A504" s="63"/>
      <c r="B504" s="64"/>
      <c r="C504" s="35"/>
      <c r="D504" s="41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2.75" customHeight="1">
      <c r="A505" s="63"/>
      <c r="B505" s="64"/>
      <c r="C505" s="35"/>
      <c r="D505" s="41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2.75" customHeight="1">
      <c r="A506" s="63"/>
      <c r="B506" s="64"/>
      <c r="C506" s="35"/>
      <c r="D506" s="41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2.75" customHeight="1">
      <c r="A507" s="63"/>
      <c r="B507" s="64"/>
      <c r="C507" s="35"/>
      <c r="D507" s="41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2.75" customHeight="1">
      <c r="A508" s="63"/>
      <c r="B508" s="64"/>
      <c r="C508" s="35"/>
      <c r="D508" s="41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2.75" customHeight="1">
      <c r="A509" s="63"/>
      <c r="B509" s="64"/>
      <c r="C509" s="35"/>
      <c r="D509" s="41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2.75" customHeight="1">
      <c r="A510" s="63"/>
      <c r="B510" s="64"/>
      <c r="C510" s="35"/>
      <c r="D510" s="41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2.75" customHeight="1">
      <c r="A511" s="63"/>
      <c r="B511" s="64"/>
      <c r="C511" s="35"/>
      <c r="D511" s="41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2.75" customHeight="1">
      <c r="A512" s="63"/>
      <c r="B512" s="64"/>
      <c r="C512" s="35"/>
      <c r="D512" s="41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2.75" customHeight="1">
      <c r="A513" s="63"/>
      <c r="B513" s="64"/>
      <c r="C513" s="35"/>
      <c r="D513" s="41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2.75" customHeight="1">
      <c r="A514" s="63"/>
      <c r="B514" s="64"/>
      <c r="C514" s="35"/>
      <c r="D514" s="41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2.75" customHeight="1">
      <c r="A515" s="63"/>
      <c r="B515" s="64"/>
      <c r="C515" s="35"/>
      <c r="D515" s="41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2.75" customHeight="1">
      <c r="A516" s="63"/>
      <c r="B516" s="64"/>
      <c r="C516" s="35"/>
      <c r="D516" s="41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2.75" customHeight="1">
      <c r="A517" s="63"/>
      <c r="B517" s="64"/>
      <c r="C517" s="35"/>
      <c r="D517" s="41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2.75" customHeight="1">
      <c r="A518" s="63"/>
      <c r="B518" s="64"/>
      <c r="C518" s="35"/>
      <c r="D518" s="41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2.75" customHeight="1">
      <c r="A519" s="63"/>
      <c r="B519" s="64"/>
      <c r="C519" s="35"/>
      <c r="D519" s="41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2.75" customHeight="1">
      <c r="A520" s="63"/>
      <c r="B520" s="64"/>
      <c r="C520" s="35"/>
      <c r="D520" s="41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2.75" customHeight="1">
      <c r="A521" s="63"/>
      <c r="B521" s="64"/>
      <c r="C521" s="35"/>
      <c r="D521" s="41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2.75" customHeight="1">
      <c r="A522" s="63"/>
      <c r="B522" s="64"/>
      <c r="C522" s="35"/>
      <c r="D522" s="41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2.75" customHeight="1">
      <c r="A523" s="63"/>
      <c r="B523" s="64"/>
      <c r="C523" s="35"/>
      <c r="D523" s="41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2.75" customHeight="1">
      <c r="A524" s="63"/>
      <c r="B524" s="64"/>
      <c r="C524" s="35"/>
      <c r="D524" s="41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2.75" customHeight="1">
      <c r="A525" s="63"/>
      <c r="B525" s="64"/>
      <c r="C525" s="35"/>
      <c r="D525" s="41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2.75" customHeight="1">
      <c r="A526" s="63"/>
      <c r="B526" s="64"/>
      <c r="C526" s="35"/>
      <c r="D526" s="41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2.75" customHeight="1">
      <c r="A527" s="63"/>
      <c r="B527" s="64"/>
      <c r="C527" s="35"/>
      <c r="D527" s="41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2.75" customHeight="1">
      <c r="A528" s="63"/>
      <c r="B528" s="64"/>
      <c r="C528" s="35"/>
      <c r="D528" s="41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2.75" customHeight="1">
      <c r="A529" s="63"/>
      <c r="B529" s="64"/>
      <c r="C529" s="35"/>
      <c r="D529" s="41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2.75" customHeight="1">
      <c r="A530" s="63"/>
      <c r="B530" s="64"/>
      <c r="C530" s="35"/>
      <c r="D530" s="41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2.75" customHeight="1">
      <c r="A531" s="63"/>
      <c r="B531" s="64"/>
      <c r="C531" s="35"/>
      <c r="D531" s="41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2.75" customHeight="1">
      <c r="A532" s="63"/>
      <c r="B532" s="64"/>
      <c r="C532" s="35"/>
      <c r="D532" s="41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2.75" customHeight="1">
      <c r="A533" s="63"/>
      <c r="B533" s="64"/>
      <c r="C533" s="35"/>
      <c r="D533" s="41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2.75" customHeight="1">
      <c r="A534" s="63"/>
      <c r="B534" s="64"/>
      <c r="C534" s="35"/>
      <c r="D534" s="41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2.75" customHeight="1">
      <c r="A535" s="63"/>
      <c r="B535" s="64"/>
      <c r="C535" s="35"/>
      <c r="D535" s="41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2.75" customHeight="1">
      <c r="A536" s="63"/>
      <c r="B536" s="64"/>
      <c r="C536" s="35"/>
      <c r="D536" s="41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2.75" customHeight="1">
      <c r="A537" s="63"/>
      <c r="B537" s="64"/>
      <c r="C537" s="35"/>
      <c r="D537" s="41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2.75" customHeight="1">
      <c r="A538" s="63"/>
      <c r="B538" s="64"/>
      <c r="C538" s="35"/>
      <c r="D538" s="41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2.75" customHeight="1">
      <c r="A539" s="63"/>
      <c r="B539" s="64"/>
      <c r="C539" s="35"/>
      <c r="D539" s="41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2.75" customHeight="1">
      <c r="A540" s="63"/>
      <c r="B540" s="64"/>
      <c r="C540" s="35"/>
      <c r="D540" s="41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2.75" customHeight="1">
      <c r="A541" s="63"/>
      <c r="B541" s="64"/>
      <c r="C541" s="35"/>
      <c r="D541" s="41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2.75" customHeight="1">
      <c r="A542" s="63"/>
      <c r="B542" s="64"/>
      <c r="C542" s="35"/>
      <c r="D542" s="41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2.75" customHeight="1">
      <c r="A543" s="63"/>
      <c r="B543" s="64"/>
      <c r="C543" s="35"/>
      <c r="D543" s="41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2.75" customHeight="1">
      <c r="A544" s="63"/>
      <c r="B544" s="64"/>
      <c r="C544" s="35"/>
      <c r="D544" s="41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2.75" customHeight="1">
      <c r="A545" s="63"/>
      <c r="B545" s="64"/>
      <c r="C545" s="35"/>
      <c r="D545" s="41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2.75" customHeight="1">
      <c r="A546" s="63"/>
      <c r="B546" s="64"/>
      <c r="C546" s="35"/>
      <c r="D546" s="41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2.75" customHeight="1">
      <c r="A547" s="63"/>
      <c r="B547" s="64"/>
      <c r="C547" s="35"/>
      <c r="D547" s="41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2.75" customHeight="1">
      <c r="A548" s="63"/>
      <c r="B548" s="64"/>
      <c r="C548" s="35"/>
      <c r="D548" s="41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2.75" customHeight="1">
      <c r="A549" s="63"/>
      <c r="B549" s="64"/>
      <c r="C549" s="35"/>
      <c r="D549" s="41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2.75" customHeight="1">
      <c r="A550" s="63"/>
      <c r="B550" s="64"/>
      <c r="C550" s="35"/>
      <c r="D550" s="41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2.75" customHeight="1">
      <c r="A551" s="63"/>
      <c r="B551" s="64"/>
      <c r="C551" s="35"/>
      <c r="D551" s="41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2.75" customHeight="1">
      <c r="A552" s="63"/>
      <c r="B552" s="64"/>
      <c r="C552" s="35"/>
      <c r="D552" s="41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2.75" customHeight="1">
      <c r="A553" s="63"/>
      <c r="B553" s="64"/>
      <c r="C553" s="35"/>
      <c r="D553" s="41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2.75" customHeight="1">
      <c r="A554" s="63"/>
      <c r="B554" s="64"/>
      <c r="C554" s="35"/>
      <c r="D554" s="41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2.75" customHeight="1">
      <c r="A555" s="63"/>
      <c r="B555" s="64"/>
      <c r="C555" s="35"/>
      <c r="D555" s="41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2.75" customHeight="1">
      <c r="A556" s="63"/>
      <c r="B556" s="64"/>
      <c r="C556" s="35"/>
      <c r="D556" s="41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2.75" customHeight="1">
      <c r="A557" s="63"/>
      <c r="B557" s="64"/>
      <c r="C557" s="35"/>
      <c r="D557" s="41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2.75" customHeight="1">
      <c r="A558" s="63"/>
      <c r="B558" s="64"/>
      <c r="C558" s="35"/>
      <c r="D558" s="41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2.75" customHeight="1">
      <c r="A559" s="63"/>
      <c r="B559" s="64"/>
      <c r="C559" s="35"/>
      <c r="D559" s="41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2.75" customHeight="1">
      <c r="A560" s="63"/>
      <c r="B560" s="64"/>
      <c r="C560" s="35"/>
      <c r="D560" s="41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2.75" customHeight="1">
      <c r="A561" s="63"/>
      <c r="B561" s="64"/>
      <c r="C561" s="35"/>
      <c r="D561" s="41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2.75" customHeight="1">
      <c r="A562" s="63"/>
      <c r="B562" s="64"/>
      <c r="C562" s="35"/>
      <c r="D562" s="41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2.75" customHeight="1">
      <c r="A563" s="63"/>
      <c r="B563" s="64"/>
      <c r="C563" s="35"/>
      <c r="D563" s="41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2.75" customHeight="1">
      <c r="A564" s="63"/>
      <c r="B564" s="64"/>
      <c r="C564" s="35"/>
      <c r="D564" s="41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2.75" customHeight="1">
      <c r="A565" s="63"/>
      <c r="B565" s="64"/>
      <c r="C565" s="35"/>
      <c r="D565" s="41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2.75" customHeight="1">
      <c r="A566" s="63"/>
      <c r="B566" s="64"/>
      <c r="C566" s="35"/>
      <c r="D566" s="41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2.75" customHeight="1">
      <c r="A567" s="63"/>
      <c r="B567" s="64"/>
      <c r="C567" s="35"/>
      <c r="D567" s="41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2.75" customHeight="1">
      <c r="A568" s="63"/>
      <c r="B568" s="64"/>
      <c r="C568" s="35"/>
      <c r="D568" s="41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2.75" customHeight="1">
      <c r="A569" s="63"/>
      <c r="B569" s="64"/>
      <c r="C569" s="35"/>
      <c r="D569" s="41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2.75" customHeight="1">
      <c r="A570" s="63"/>
      <c r="B570" s="64"/>
      <c r="C570" s="35"/>
      <c r="D570" s="41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2.75" customHeight="1">
      <c r="A571" s="63"/>
      <c r="B571" s="64"/>
      <c r="C571" s="35"/>
      <c r="D571" s="41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2.75" customHeight="1">
      <c r="A572" s="63"/>
      <c r="B572" s="64"/>
      <c r="C572" s="35"/>
      <c r="D572" s="41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2.75" customHeight="1">
      <c r="A573" s="63"/>
      <c r="B573" s="64"/>
      <c r="C573" s="35"/>
      <c r="D573" s="41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2.75" customHeight="1">
      <c r="A574" s="63"/>
      <c r="B574" s="64"/>
      <c r="C574" s="35"/>
      <c r="D574" s="41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2.75" customHeight="1">
      <c r="A575" s="63"/>
      <c r="B575" s="64"/>
      <c r="C575" s="35"/>
      <c r="D575" s="41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2.75" customHeight="1">
      <c r="A576" s="63"/>
      <c r="B576" s="64"/>
      <c r="C576" s="35"/>
      <c r="D576" s="41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2.75" customHeight="1">
      <c r="A577" s="63"/>
      <c r="B577" s="64"/>
      <c r="C577" s="35"/>
      <c r="D577" s="41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2.75" customHeight="1">
      <c r="A578" s="63"/>
      <c r="B578" s="64"/>
      <c r="C578" s="35"/>
      <c r="D578" s="41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2.75" customHeight="1">
      <c r="A579" s="63"/>
      <c r="B579" s="64"/>
      <c r="C579" s="35"/>
      <c r="D579" s="41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2.75" customHeight="1">
      <c r="A580" s="63"/>
      <c r="B580" s="64"/>
      <c r="C580" s="35"/>
      <c r="D580" s="41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2.75" customHeight="1">
      <c r="A581" s="63"/>
      <c r="B581" s="64"/>
      <c r="C581" s="35"/>
      <c r="D581" s="41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2.75" customHeight="1">
      <c r="A582" s="63"/>
      <c r="B582" s="64"/>
      <c r="C582" s="35"/>
      <c r="D582" s="41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2.75" customHeight="1">
      <c r="A583" s="63"/>
      <c r="B583" s="64"/>
      <c r="C583" s="35"/>
      <c r="D583" s="41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2.75" customHeight="1">
      <c r="A584" s="63"/>
      <c r="B584" s="64"/>
      <c r="C584" s="35"/>
      <c r="D584" s="41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2.75" customHeight="1">
      <c r="A585" s="63"/>
      <c r="B585" s="64"/>
      <c r="C585" s="35"/>
      <c r="D585" s="41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2.75" customHeight="1">
      <c r="A586" s="63"/>
      <c r="B586" s="64"/>
      <c r="C586" s="35"/>
      <c r="D586" s="41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2.75" customHeight="1">
      <c r="A587" s="63"/>
      <c r="B587" s="64"/>
      <c r="C587" s="35"/>
      <c r="D587" s="41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2.75" customHeight="1">
      <c r="A588" s="63"/>
      <c r="B588" s="64"/>
      <c r="C588" s="35"/>
      <c r="D588" s="41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2.75" customHeight="1">
      <c r="A589" s="63"/>
      <c r="B589" s="64"/>
      <c r="C589" s="35"/>
      <c r="D589" s="41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2.75" customHeight="1">
      <c r="A590" s="63"/>
      <c r="B590" s="64"/>
      <c r="C590" s="35"/>
      <c r="D590" s="41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2.75" customHeight="1">
      <c r="A591" s="63"/>
      <c r="B591" s="64"/>
      <c r="C591" s="35"/>
      <c r="D591" s="41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2.75" customHeight="1">
      <c r="A592" s="63"/>
      <c r="B592" s="64"/>
      <c r="C592" s="35"/>
      <c r="D592" s="41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2.75" customHeight="1">
      <c r="A593" s="63"/>
      <c r="B593" s="64"/>
      <c r="C593" s="35"/>
      <c r="D593" s="41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2.75" customHeight="1">
      <c r="A594" s="63"/>
      <c r="B594" s="64"/>
      <c r="C594" s="35"/>
      <c r="D594" s="41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2.75" customHeight="1">
      <c r="A595" s="63"/>
      <c r="B595" s="64"/>
      <c r="C595" s="35"/>
      <c r="D595" s="41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2.75" customHeight="1">
      <c r="A596" s="63"/>
      <c r="B596" s="64"/>
      <c r="C596" s="35"/>
      <c r="D596" s="41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2.75" customHeight="1">
      <c r="A597" s="63"/>
      <c r="B597" s="64"/>
      <c r="C597" s="35"/>
      <c r="D597" s="41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2.75" customHeight="1">
      <c r="A598" s="63"/>
      <c r="B598" s="64"/>
      <c r="C598" s="35"/>
      <c r="D598" s="41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2.75" customHeight="1">
      <c r="A599" s="63"/>
      <c r="B599" s="64"/>
      <c r="C599" s="35"/>
      <c r="D599" s="41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2.75" customHeight="1">
      <c r="A600" s="63"/>
      <c r="B600" s="64"/>
      <c r="C600" s="35"/>
      <c r="D600" s="41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2.75" customHeight="1">
      <c r="A601" s="63"/>
      <c r="B601" s="64"/>
      <c r="C601" s="35"/>
      <c r="D601" s="41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2.75" customHeight="1">
      <c r="A602" s="63"/>
      <c r="B602" s="64"/>
      <c r="C602" s="35"/>
      <c r="D602" s="41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2.75" customHeight="1">
      <c r="A603" s="63"/>
      <c r="B603" s="64"/>
      <c r="C603" s="35"/>
      <c r="D603" s="41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2.75" customHeight="1">
      <c r="A604" s="63"/>
      <c r="B604" s="64"/>
      <c r="C604" s="35"/>
      <c r="D604" s="41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2.75" customHeight="1">
      <c r="A605" s="63"/>
      <c r="B605" s="64"/>
      <c r="C605" s="35"/>
      <c r="D605" s="41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2.75" customHeight="1">
      <c r="A606" s="63"/>
      <c r="B606" s="64"/>
      <c r="C606" s="35"/>
      <c r="D606" s="41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2.75" customHeight="1">
      <c r="A607" s="63"/>
      <c r="B607" s="64"/>
      <c r="C607" s="35"/>
      <c r="D607" s="41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2.75" customHeight="1">
      <c r="A608" s="63"/>
      <c r="B608" s="64"/>
      <c r="C608" s="35"/>
      <c r="D608" s="41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2.75" customHeight="1">
      <c r="A609" s="63"/>
      <c r="B609" s="64"/>
      <c r="C609" s="35"/>
      <c r="D609" s="41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2.75" customHeight="1">
      <c r="A610" s="63"/>
      <c r="B610" s="64"/>
      <c r="C610" s="35"/>
      <c r="D610" s="41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2.75" customHeight="1">
      <c r="A611" s="63"/>
      <c r="B611" s="64"/>
      <c r="C611" s="35"/>
      <c r="D611" s="41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2.75" customHeight="1">
      <c r="A612" s="63"/>
      <c r="B612" s="64"/>
      <c r="C612" s="35"/>
      <c r="D612" s="41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2.75" customHeight="1">
      <c r="A613" s="63"/>
      <c r="B613" s="64"/>
      <c r="C613" s="35"/>
      <c r="D613" s="41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2.75" customHeight="1">
      <c r="A614" s="63"/>
      <c r="B614" s="64"/>
      <c r="C614" s="35"/>
      <c r="D614" s="41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2.75" customHeight="1">
      <c r="A615" s="63"/>
      <c r="B615" s="64"/>
      <c r="C615" s="35"/>
      <c r="D615" s="41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2.75" customHeight="1">
      <c r="A616" s="63"/>
      <c r="B616" s="64"/>
      <c r="C616" s="35"/>
      <c r="D616" s="41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2.75" customHeight="1">
      <c r="A617" s="63"/>
      <c r="B617" s="64"/>
      <c r="C617" s="35"/>
      <c r="D617" s="41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2.75" customHeight="1">
      <c r="A618" s="63"/>
      <c r="B618" s="64"/>
      <c r="C618" s="35"/>
      <c r="D618" s="41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2.75" customHeight="1">
      <c r="A619" s="63"/>
      <c r="B619" s="64"/>
      <c r="C619" s="35"/>
      <c r="D619" s="41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2.75" customHeight="1">
      <c r="A620" s="63"/>
      <c r="B620" s="64"/>
      <c r="C620" s="35"/>
      <c r="D620" s="41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2.75" customHeight="1">
      <c r="A621" s="63"/>
      <c r="B621" s="64"/>
      <c r="C621" s="35"/>
      <c r="D621" s="41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2.75" customHeight="1">
      <c r="A622" s="63"/>
      <c r="B622" s="64"/>
      <c r="C622" s="35"/>
      <c r="D622" s="41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2.75" customHeight="1">
      <c r="A623" s="63"/>
      <c r="B623" s="64"/>
      <c r="C623" s="35"/>
      <c r="D623" s="41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2.75" customHeight="1">
      <c r="A624" s="63"/>
      <c r="B624" s="64"/>
      <c r="C624" s="35"/>
      <c r="D624" s="41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2.75" customHeight="1">
      <c r="A625" s="63"/>
      <c r="B625" s="64"/>
      <c r="C625" s="35"/>
      <c r="D625" s="41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2.75" customHeight="1">
      <c r="A626" s="63"/>
      <c r="B626" s="64"/>
      <c r="C626" s="35"/>
      <c r="D626" s="41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2.75" customHeight="1">
      <c r="A627" s="63"/>
      <c r="B627" s="64"/>
      <c r="C627" s="35"/>
      <c r="D627" s="41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2.75" customHeight="1">
      <c r="A628" s="63"/>
      <c r="B628" s="64"/>
      <c r="C628" s="35"/>
      <c r="D628" s="41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2.75" customHeight="1">
      <c r="A629" s="63"/>
      <c r="B629" s="64"/>
      <c r="C629" s="35"/>
      <c r="D629" s="41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2.75" customHeight="1">
      <c r="A630" s="63"/>
      <c r="B630" s="64"/>
      <c r="C630" s="35"/>
      <c r="D630" s="41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2.75" customHeight="1">
      <c r="A631" s="63"/>
      <c r="B631" s="64"/>
      <c r="C631" s="35"/>
      <c r="D631" s="41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2.75" customHeight="1">
      <c r="A632" s="63"/>
      <c r="B632" s="64"/>
      <c r="C632" s="35"/>
      <c r="D632" s="41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2.75" customHeight="1">
      <c r="A633" s="63"/>
      <c r="B633" s="64"/>
      <c r="C633" s="35"/>
      <c r="D633" s="41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2.75" customHeight="1">
      <c r="A634" s="63"/>
      <c r="B634" s="64"/>
      <c r="C634" s="35"/>
      <c r="D634" s="41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2.75" customHeight="1">
      <c r="A635" s="63"/>
      <c r="B635" s="64"/>
      <c r="C635" s="35"/>
      <c r="D635" s="41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2.75" customHeight="1">
      <c r="A636" s="63"/>
      <c r="B636" s="64"/>
      <c r="C636" s="35"/>
      <c r="D636" s="41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2.75" customHeight="1">
      <c r="A637" s="63"/>
      <c r="B637" s="64"/>
      <c r="C637" s="35"/>
      <c r="D637" s="41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2.75" customHeight="1">
      <c r="A638" s="63"/>
      <c r="B638" s="64"/>
      <c r="C638" s="35"/>
      <c r="D638" s="41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2.75" customHeight="1">
      <c r="A639" s="63"/>
      <c r="B639" s="64"/>
      <c r="C639" s="35"/>
      <c r="D639" s="41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2.75" customHeight="1">
      <c r="A640" s="63"/>
      <c r="B640" s="64"/>
      <c r="C640" s="35"/>
      <c r="D640" s="41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2.75" customHeight="1">
      <c r="A641" s="63"/>
      <c r="B641" s="64"/>
      <c r="C641" s="35"/>
      <c r="D641" s="41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2.75" customHeight="1">
      <c r="A642" s="63"/>
      <c r="B642" s="64"/>
      <c r="C642" s="35"/>
      <c r="D642" s="41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2.75" customHeight="1">
      <c r="A643" s="63"/>
      <c r="B643" s="64"/>
      <c r="C643" s="35"/>
      <c r="D643" s="41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2.75" customHeight="1">
      <c r="A644" s="63"/>
      <c r="B644" s="64"/>
      <c r="C644" s="35"/>
      <c r="D644" s="41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2.75" customHeight="1">
      <c r="A645" s="63"/>
      <c r="B645" s="64"/>
      <c r="C645" s="35"/>
      <c r="D645" s="41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2.75" customHeight="1">
      <c r="A646" s="63"/>
      <c r="B646" s="64"/>
      <c r="C646" s="35"/>
      <c r="D646" s="41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2.75" customHeight="1">
      <c r="A647" s="63"/>
      <c r="B647" s="64"/>
      <c r="C647" s="35"/>
      <c r="D647" s="41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2.75" customHeight="1">
      <c r="A648" s="63"/>
      <c r="B648" s="64"/>
      <c r="C648" s="35"/>
      <c r="D648" s="41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2.75" customHeight="1">
      <c r="A649" s="63"/>
      <c r="B649" s="64"/>
      <c r="C649" s="35"/>
      <c r="D649" s="41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2.75" customHeight="1">
      <c r="A650" s="63"/>
      <c r="B650" s="64"/>
      <c r="C650" s="35"/>
      <c r="D650" s="41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2.75" customHeight="1">
      <c r="A651" s="63"/>
      <c r="B651" s="64"/>
      <c r="C651" s="35"/>
      <c r="D651" s="41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2.75" customHeight="1">
      <c r="A652" s="63"/>
      <c r="B652" s="64"/>
      <c r="C652" s="35"/>
      <c r="D652" s="41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2.75" customHeight="1">
      <c r="A653" s="63"/>
      <c r="B653" s="64"/>
      <c r="C653" s="35"/>
      <c r="D653" s="41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2.75" customHeight="1">
      <c r="A654" s="63"/>
      <c r="B654" s="64"/>
      <c r="C654" s="35"/>
      <c r="D654" s="41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2.75" customHeight="1">
      <c r="A655" s="63"/>
      <c r="B655" s="64"/>
      <c r="C655" s="35"/>
      <c r="D655" s="41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2.75" customHeight="1">
      <c r="A656" s="63"/>
      <c r="B656" s="64"/>
      <c r="C656" s="35"/>
      <c r="D656" s="41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2.75" customHeight="1">
      <c r="A657" s="63"/>
      <c r="B657" s="64"/>
      <c r="C657" s="35"/>
      <c r="D657" s="41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2.75" customHeight="1">
      <c r="A658" s="63"/>
      <c r="B658" s="64"/>
      <c r="C658" s="35"/>
      <c r="D658" s="41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2.75" customHeight="1">
      <c r="A659" s="63"/>
      <c r="B659" s="64"/>
      <c r="C659" s="35"/>
      <c r="D659" s="41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2.75" customHeight="1">
      <c r="A660" s="63"/>
      <c r="B660" s="64"/>
      <c r="C660" s="35"/>
      <c r="D660" s="41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2.75" customHeight="1">
      <c r="A661" s="63"/>
      <c r="B661" s="64"/>
      <c r="C661" s="35"/>
      <c r="D661" s="41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2.75" customHeight="1">
      <c r="A662" s="63"/>
      <c r="B662" s="64"/>
      <c r="C662" s="35"/>
      <c r="D662" s="41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2.75" customHeight="1">
      <c r="A663" s="63"/>
      <c r="B663" s="64"/>
      <c r="C663" s="35"/>
      <c r="D663" s="41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2.75" customHeight="1">
      <c r="A664" s="63"/>
      <c r="B664" s="64"/>
      <c r="C664" s="35"/>
      <c r="D664" s="41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2.75" customHeight="1">
      <c r="A665" s="63"/>
      <c r="B665" s="64"/>
      <c r="C665" s="35"/>
      <c r="D665" s="41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2.75" customHeight="1">
      <c r="A666" s="63"/>
      <c r="B666" s="64"/>
      <c r="C666" s="35"/>
      <c r="D666" s="41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2.75" customHeight="1">
      <c r="A667" s="63"/>
      <c r="B667" s="64"/>
      <c r="C667" s="35"/>
      <c r="D667" s="41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2.75" customHeight="1">
      <c r="A668" s="63"/>
      <c r="B668" s="64"/>
      <c r="C668" s="35"/>
      <c r="D668" s="41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2.75" customHeight="1">
      <c r="A669" s="63"/>
      <c r="B669" s="64"/>
      <c r="C669" s="35"/>
      <c r="D669" s="41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2.75" customHeight="1">
      <c r="A670" s="63"/>
      <c r="B670" s="64"/>
      <c r="C670" s="35"/>
      <c r="D670" s="41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2.75" customHeight="1">
      <c r="A671" s="63"/>
      <c r="B671" s="64"/>
      <c r="C671" s="35"/>
      <c r="D671" s="41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2.75" customHeight="1">
      <c r="A672" s="63"/>
      <c r="B672" s="64"/>
      <c r="C672" s="35"/>
      <c r="D672" s="41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2.75" customHeight="1">
      <c r="A673" s="63"/>
      <c r="B673" s="64"/>
      <c r="C673" s="35"/>
      <c r="D673" s="41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2.75" customHeight="1">
      <c r="A674" s="63"/>
      <c r="B674" s="64"/>
      <c r="C674" s="35"/>
      <c r="D674" s="41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2.75" customHeight="1">
      <c r="A675" s="63"/>
      <c r="B675" s="64"/>
      <c r="C675" s="35"/>
      <c r="D675" s="41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2.75" customHeight="1">
      <c r="A676" s="63"/>
      <c r="B676" s="64"/>
      <c r="C676" s="35"/>
      <c r="D676" s="41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2.75" customHeight="1">
      <c r="A677" s="63"/>
      <c r="B677" s="64"/>
      <c r="C677" s="35"/>
      <c r="D677" s="41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2.75" customHeight="1">
      <c r="A678" s="63"/>
      <c r="B678" s="64"/>
      <c r="C678" s="35"/>
      <c r="D678" s="41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2.75" customHeight="1">
      <c r="A679" s="63"/>
      <c r="B679" s="64"/>
      <c r="C679" s="35"/>
      <c r="D679" s="41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2.75" customHeight="1">
      <c r="A680" s="63"/>
      <c r="B680" s="64"/>
      <c r="C680" s="35"/>
      <c r="D680" s="41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2.75" customHeight="1">
      <c r="A681" s="63"/>
      <c r="B681" s="64"/>
      <c r="C681" s="35"/>
      <c r="D681" s="41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2.75" customHeight="1">
      <c r="A682" s="63"/>
      <c r="B682" s="64"/>
      <c r="C682" s="35"/>
      <c r="D682" s="41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2.75" customHeight="1">
      <c r="A683" s="63"/>
      <c r="B683" s="64"/>
      <c r="C683" s="35"/>
      <c r="D683" s="41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2.75" customHeight="1">
      <c r="A684" s="63"/>
      <c r="B684" s="64"/>
      <c r="C684" s="35"/>
      <c r="D684" s="41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2.75" customHeight="1">
      <c r="A685" s="63"/>
      <c r="B685" s="64"/>
      <c r="C685" s="35"/>
      <c r="D685" s="41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2.75" customHeight="1">
      <c r="A686" s="63"/>
      <c r="B686" s="64"/>
      <c r="C686" s="35"/>
      <c r="D686" s="41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2.75" customHeight="1">
      <c r="A687" s="63"/>
      <c r="B687" s="64"/>
      <c r="C687" s="35"/>
      <c r="D687" s="41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2.75" customHeight="1">
      <c r="A688" s="63"/>
      <c r="B688" s="64"/>
      <c r="C688" s="35"/>
      <c r="D688" s="41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2.75" customHeight="1">
      <c r="A689" s="63"/>
      <c r="B689" s="64"/>
      <c r="C689" s="35"/>
      <c r="D689" s="41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2.75" customHeight="1">
      <c r="A690" s="63"/>
      <c r="B690" s="64"/>
      <c r="C690" s="35"/>
      <c r="D690" s="41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2.75" customHeight="1">
      <c r="A691" s="63"/>
      <c r="B691" s="64"/>
      <c r="C691" s="35"/>
      <c r="D691" s="41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2.75" customHeight="1">
      <c r="A692" s="63"/>
      <c r="B692" s="64"/>
      <c r="C692" s="35"/>
      <c r="D692" s="41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2.75" customHeight="1">
      <c r="A693" s="63"/>
      <c r="B693" s="64"/>
      <c r="C693" s="35"/>
      <c r="D693" s="41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2.75" customHeight="1">
      <c r="A694" s="63"/>
      <c r="B694" s="64"/>
      <c r="C694" s="35"/>
      <c r="D694" s="41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2.75" customHeight="1">
      <c r="A695" s="63"/>
      <c r="B695" s="64"/>
      <c r="C695" s="35"/>
      <c r="D695" s="41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2.75" customHeight="1">
      <c r="A696" s="63"/>
      <c r="B696" s="64"/>
      <c r="C696" s="35"/>
      <c r="D696" s="41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2.75" customHeight="1">
      <c r="A697" s="63"/>
      <c r="B697" s="64"/>
      <c r="C697" s="35"/>
      <c r="D697" s="41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2.75" customHeight="1">
      <c r="A698" s="63"/>
      <c r="B698" s="64"/>
      <c r="C698" s="35"/>
      <c r="D698" s="41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2.75" customHeight="1">
      <c r="A699" s="63"/>
      <c r="B699" s="64"/>
      <c r="C699" s="35"/>
      <c r="D699" s="41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2.75" customHeight="1">
      <c r="A700" s="63"/>
      <c r="B700" s="64"/>
      <c r="C700" s="35"/>
      <c r="D700" s="41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2.75" customHeight="1">
      <c r="A701" s="63"/>
      <c r="B701" s="64"/>
      <c r="C701" s="35"/>
      <c r="D701" s="41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2.75" customHeight="1">
      <c r="A702" s="63"/>
      <c r="B702" s="64"/>
      <c r="C702" s="35"/>
      <c r="D702" s="41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2.75" customHeight="1">
      <c r="A703" s="63"/>
      <c r="B703" s="64"/>
      <c r="C703" s="35"/>
      <c r="D703" s="41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2.75" customHeight="1">
      <c r="A704" s="63"/>
      <c r="B704" s="64"/>
      <c r="C704" s="35"/>
      <c r="D704" s="41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2.75" customHeight="1">
      <c r="A705" s="63"/>
      <c r="B705" s="64"/>
      <c r="C705" s="35"/>
      <c r="D705" s="41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2.75" customHeight="1">
      <c r="A706" s="63"/>
      <c r="B706" s="64"/>
      <c r="C706" s="35"/>
      <c r="D706" s="41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2.75" customHeight="1">
      <c r="A707" s="63"/>
      <c r="B707" s="64"/>
      <c r="C707" s="35"/>
      <c r="D707" s="41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2.75" customHeight="1">
      <c r="A708" s="63"/>
      <c r="B708" s="64"/>
      <c r="C708" s="35"/>
      <c r="D708" s="41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2.75" customHeight="1">
      <c r="A709" s="63"/>
      <c r="B709" s="64"/>
      <c r="C709" s="35"/>
      <c r="D709" s="41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2.75" customHeight="1">
      <c r="A710" s="63"/>
      <c r="B710" s="64"/>
      <c r="C710" s="35"/>
      <c r="D710" s="41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2.75" customHeight="1">
      <c r="A711" s="63"/>
      <c r="B711" s="64"/>
      <c r="C711" s="35"/>
      <c r="D711" s="41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2.75" customHeight="1">
      <c r="A712" s="63"/>
      <c r="B712" s="64"/>
      <c r="C712" s="35"/>
      <c r="D712" s="41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2.75" customHeight="1">
      <c r="A713" s="63"/>
      <c r="B713" s="64"/>
      <c r="C713" s="35"/>
      <c r="D713" s="41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2.75" customHeight="1">
      <c r="A714" s="63"/>
      <c r="B714" s="64"/>
      <c r="C714" s="35"/>
      <c r="D714" s="41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2.75" customHeight="1">
      <c r="A715" s="63"/>
      <c r="B715" s="64"/>
      <c r="C715" s="35"/>
      <c r="D715" s="41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2.75" customHeight="1">
      <c r="A716" s="63"/>
      <c r="B716" s="64"/>
      <c r="C716" s="35"/>
      <c r="D716" s="41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2.75" customHeight="1">
      <c r="A717" s="63"/>
      <c r="B717" s="64"/>
      <c r="C717" s="35"/>
      <c r="D717" s="41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2.75" customHeight="1">
      <c r="A718" s="63"/>
      <c r="B718" s="64"/>
      <c r="C718" s="35"/>
      <c r="D718" s="41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2.75" customHeight="1">
      <c r="A719" s="63"/>
      <c r="B719" s="64"/>
      <c r="C719" s="35"/>
      <c r="D719" s="41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2.75" customHeight="1">
      <c r="A720" s="63"/>
      <c r="B720" s="64"/>
      <c r="C720" s="35"/>
      <c r="D720" s="41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2.75" customHeight="1">
      <c r="A721" s="63"/>
      <c r="B721" s="64"/>
      <c r="C721" s="35"/>
      <c r="D721" s="41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2.75" customHeight="1">
      <c r="A722" s="63"/>
      <c r="B722" s="64"/>
      <c r="C722" s="35"/>
      <c r="D722" s="41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2.75" customHeight="1">
      <c r="A723" s="63"/>
      <c r="B723" s="64"/>
      <c r="C723" s="35"/>
      <c r="D723" s="41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2.75" customHeight="1">
      <c r="A724" s="63"/>
      <c r="B724" s="64"/>
      <c r="C724" s="35"/>
      <c r="D724" s="41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2.75" customHeight="1">
      <c r="A725" s="63"/>
      <c r="B725" s="64"/>
      <c r="C725" s="35"/>
      <c r="D725" s="41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2.75" customHeight="1">
      <c r="A726" s="63"/>
      <c r="B726" s="64"/>
      <c r="C726" s="35"/>
      <c r="D726" s="41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2.75" customHeight="1">
      <c r="A727" s="63"/>
      <c r="B727" s="64"/>
      <c r="C727" s="35"/>
      <c r="D727" s="41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2.75" customHeight="1">
      <c r="A728" s="63"/>
      <c r="B728" s="64"/>
      <c r="C728" s="35"/>
      <c r="D728" s="41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2.75" customHeight="1">
      <c r="A729" s="63"/>
      <c r="B729" s="64"/>
      <c r="C729" s="35"/>
      <c r="D729" s="41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2.75" customHeight="1">
      <c r="A730" s="63"/>
      <c r="B730" s="64"/>
      <c r="C730" s="35"/>
      <c r="D730" s="41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2.75" customHeight="1">
      <c r="A731" s="63"/>
      <c r="B731" s="64"/>
      <c r="C731" s="35"/>
      <c r="D731" s="41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2.75" customHeight="1">
      <c r="A732" s="63"/>
      <c r="B732" s="64"/>
      <c r="C732" s="35"/>
      <c r="D732" s="41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2.75" customHeight="1">
      <c r="A733" s="63"/>
      <c r="B733" s="64"/>
      <c r="C733" s="35"/>
      <c r="D733" s="41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2.75" customHeight="1">
      <c r="A734" s="63"/>
      <c r="B734" s="64"/>
      <c r="C734" s="35"/>
      <c r="D734" s="41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2.75" customHeight="1">
      <c r="A735" s="63"/>
      <c r="B735" s="64"/>
      <c r="C735" s="35"/>
      <c r="D735" s="41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2.75" customHeight="1">
      <c r="A736" s="63"/>
      <c r="B736" s="64"/>
      <c r="C736" s="35"/>
      <c r="D736" s="41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2.75" customHeight="1">
      <c r="A737" s="63"/>
      <c r="B737" s="64"/>
      <c r="C737" s="35"/>
      <c r="D737" s="41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2.75" customHeight="1">
      <c r="A738" s="63"/>
      <c r="B738" s="64"/>
      <c r="C738" s="35"/>
      <c r="D738" s="41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2.75" customHeight="1">
      <c r="A739" s="63"/>
      <c r="B739" s="64"/>
      <c r="C739" s="35"/>
      <c r="D739" s="41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2.75" customHeight="1">
      <c r="A740" s="63"/>
      <c r="B740" s="64"/>
      <c r="C740" s="35"/>
      <c r="D740" s="41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2.75" customHeight="1">
      <c r="A741" s="63"/>
      <c r="B741" s="64"/>
      <c r="C741" s="35"/>
      <c r="D741" s="41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2.75" customHeight="1">
      <c r="A742" s="63"/>
      <c r="B742" s="64"/>
      <c r="C742" s="35"/>
      <c r="D742" s="41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2.75" customHeight="1">
      <c r="A743" s="63"/>
      <c r="B743" s="64"/>
      <c r="C743" s="35"/>
      <c r="D743" s="41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2.75" customHeight="1">
      <c r="A744" s="63"/>
      <c r="B744" s="64"/>
      <c r="C744" s="35"/>
      <c r="D744" s="41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2.75" customHeight="1">
      <c r="A745" s="63"/>
      <c r="B745" s="64"/>
      <c r="C745" s="35"/>
      <c r="D745" s="41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2.75" customHeight="1">
      <c r="A746" s="63"/>
      <c r="B746" s="64"/>
      <c r="C746" s="35"/>
      <c r="D746" s="41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2.75" customHeight="1">
      <c r="A747" s="63"/>
      <c r="B747" s="64"/>
      <c r="C747" s="35"/>
      <c r="D747" s="41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2.75" customHeight="1">
      <c r="A748" s="63"/>
      <c r="B748" s="64"/>
      <c r="C748" s="35"/>
      <c r="D748" s="41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2.75" customHeight="1">
      <c r="A749" s="63"/>
      <c r="B749" s="64"/>
      <c r="C749" s="35"/>
      <c r="D749" s="41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2.75" customHeight="1">
      <c r="A750" s="63"/>
      <c r="B750" s="64"/>
      <c r="C750" s="35"/>
      <c r="D750" s="41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2.75" customHeight="1">
      <c r="A751" s="63"/>
      <c r="B751" s="64"/>
      <c r="C751" s="35"/>
      <c r="D751" s="41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2.75" customHeight="1">
      <c r="A752" s="63"/>
      <c r="B752" s="64"/>
      <c r="C752" s="35"/>
      <c r="D752" s="41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2.75" customHeight="1">
      <c r="A753" s="63"/>
      <c r="B753" s="64"/>
      <c r="C753" s="35"/>
      <c r="D753" s="41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2.75" customHeight="1">
      <c r="A754" s="63"/>
      <c r="B754" s="64"/>
      <c r="C754" s="35"/>
      <c r="D754" s="41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2.75" customHeight="1">
      <c r="A755" s="63"/>
      <c r="B755" s="64"/>
      <c r="C755" s="35"/>
      <c r="D755" s="41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2.75" customHeight="1">
      <c r="A756" s="63"/>
      <c r="B756" s="64"/>
      <c r="C756" s="35"/>
      <c r="D756" s="41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2.75" customHeight="1">
      <c r="A757" s="63"/>
      <c r="B757" s="64"/>
      <c r="C757" s="35"/>
      <c r="D757" s="41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2.75" customHeight="1">
      <c r="A758" s="63"/>
      <c r="B758" s="64"/>
      <c r="C758" s="35"/>
      <c r="D758" s="41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2.75" customHeight="1">
      <c r="A759" s="63"/>
      <c r="B759" s="64"/>
      <c r="C759" s="35"/>
      <c r="D759" s="41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2.75" customHeight="1">
      <c r="A760" s="63"/>
      <c r="B760" s="64"/>
      <c r="C760" s="35"/>
      <c r="D760" s="41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2.75" customHeight="1">
      <c r="A761" s="63"/>
      <c r="B761" s="64"/>
      <c r="C761" s="35"/>
      <c r="D761" s="41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2.75" customHeight="1">
      <c r="A762" s="63"/>
      <c r="B762" s="64"/>
      <c r="C762" s="35"/>
      <c r="D762" s="41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2.75" customHeight="1">
      <c r="A763" s="63"/>
      <c r="B763" s="64"/>
      <c r="C763" s="35"/>
      <c r="D763" s="41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2.75" customHeight="1">
      <c r="A764" s="63"/>
      <c r="B764" s="64"/>
      <c r="C764" s="35"/>
      <c r="D764" s="41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2.75" customHeight="1">
      <c r="A765" s="63"/>
      <c r="B765" s="64"/>
      <c r="C765" s="35"/>
      <c r="D765" s="41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2.75" customHeight="1">
      <c r="A766" s="63"/>
      <c r="B766" s="64"/>
      <c r="C766" s="35"/>
      <c r="D766" s="41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2.75" customHeight="1">
      <c r="A767" s="63"/>
      <c r="B767" s="64"/>
      <c r="C767" s="35"/>
      <c r="D767" s="41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2.75" customHeight="1">
      <c r="A768" s="63"/>
      <c r="B768" s="64"/>
      <c r="C768" s="35"/>
      <c r="D768" s="41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2.75" customHeight="1">
      <c r="A769" s="63"/>
      <c r="B769" s="64"/>
      <c r="C769" s="35"/>
      <c r="D769" s="41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2.75" customHeight="1">
      <c r="A770" s="63"/>
      <c r="B770" s="64"/>
      <c r="C770" s="35"/>
      <c r="D770" s="41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2.75" customHeight="1">
      <c r="A771" s="63"/>
      <c r="B771" s="64"/>
      <c r="C771" s="35"/>
      <c r="D771" s="41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2.75" customHeight="1">
      <c r="A772" s="63"/>
      <c r="B772" s="64"/>
      <c r="C772" s="35"/>
      <c r="D772" s="41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2.75" customHeight="1">
      <c r="A773" s="63"/>
      <c r="B773" s="64"/>
      <c r="C773" s="35"/>
      <c r="D773" s="41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2.75" customHeight="1">
      <c r="A774" s="63"/>
      <c r="B774" s="64"/>
      <c r="C774" s="35"/>
      <c r="D774" s="41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2.75" customHeight="1">
      <c r="A775" s="63"/>
      <c r="B775" s="64"/>
      <c r="C775" s="35"/>
      <c r="D775" s="41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2.75" customHeight="1">
      <c r="A776" s="63"/>
      <c r="B776" s="64"/>
      <c r="C776" s="35"/>
      <c r="D776" s="41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2.75" customHeight="1">
      <c r="A777" s="63"/>
      <c r="B777" s="64"/>
      <c r="C777" s="35"/>
      <c r="D777" s="41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2.75" customHeight="1">
      <c r="A778" s="63"/>
      <c r="B778" s="64"/>
      <c r="C778" s="35"/>
      <c r="D778" s="41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2.75" customHeight="1">
      <c r="A779" s="63"/>
      <c r="B779" s="64"/>
      <c r="C779" s="35"/>
      <c r="D779" s="41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2.75" customHeight="1">
      <c r="A780" s="63"/>
      <c r="B780" s="64"/>
      <c r="C780" s="35"/>
      <c r="D780" s="41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2.75" customHeight="1">
      <c r="A781" s="63"/>
      <c r="B781" s="64"/>
      <c r="C781" s="35"/>
      <c r="D781" s="41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2.75" customHeight="1">
      <c r="A782" s="63"/>
      <c r="B782" s="64"/>
      <c r="C782" s="35"/>
      <c r="D782" s="41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2.75" customHeight="1">
      <c r="A783" s="63"/>
      <c r="B783" s="64"/>
      <c r="C783" s="35"/>
      <c r="D783" s="41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2.75" customHeight="1">
      <c r="A784" s="63"/>
      <c r="B784" s="64"/>
      <c r="C784" s="35"/>
      <c r="D784" s="41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2.75" customHeight="1">
      <c r="A785" s="63"/>
      <c r="B785" s="64"/>
      <c r="C785" s="35"/>
      <c r="D785" s="41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2.75" customHeight="1">
      <c r="A786" s="63"/>
      <c r="B786" s="64"/>
      <c r="C786" s="35"/>
      <c r="D786" s="41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2.75" customHeight="1">
      <c r="A787" s="63"/>
      <c r="B787" s="64"/>
      <c r="C787" s="35"/>
      <c r="D787" s="41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2.75" customHeight="1">
      <c r="A788" s="63"/>
      <c r="B788" s="64"/>
      <c r="C788" s="35"/>
      <c r="D788" s="41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2.75" customHeight="1">
      <c r="A789" s="63"/>
      <c r="B789" s="64"/>
      <c r="C789" s="35"/>
      <c r="D789" s="41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2.75" customHeight="1">
      <c r="A790" s="63"/>
      <c r="B790" s="64"/>
      <c r="C790" s="35"/>
      <c r="D790" s="41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2.75" customHeight="1">
      <c r="A791" s="63"/>
      <c r="B791" s="64"/>
      <c r="C791" s="35"/>
      <c r="D791" s="41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2.75" customHeight="1">
      <c r="A792" s="63"/>
      <c r="B792" s="64"/>
      <c r="C792" s="35"/>
      <c r="D792" s="41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2.75" customHeight="1">
      <c r="A793" s="63"/>
      <c r="B793" s="64"/>
      <c r="C793" s="35"/>
      <c r="D793" s="41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2.75" customHeight="1">
      <c r="A794" s="63"/>
      <c r="B794" s="64"/>
      <c r="C794" s="35"/>
      <c r="D794" s="41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2.75" customHeight="1">
      <c r="A795" s="63"/>
      <c r="B795" s="64"/>
      <c r="C795" s="35"/>
      <c r="D795" s="41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2.75" customHeight="1">
      <c r="A796" s="63"/>
      <c r="B796" s="64"/>
      <c r="C796" s="35"/>
      <c r="D796" s="41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2.75" customHeight="1">
      <c r="A797" s="63"/>
      <c r="B797" s="64"/>
      <c r="C797" s="35"/>
      <c r="D797" s="41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2.75" customHeight="1">
      <c r="A798" s="63"/>
      <c r="B798" s="64"/>
      <c r="C798" s="35"/>
      <c r="D798" s="41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2.75" customHeight="1">
      <c r="A799" s="63"/>
      <c r="B799" s="64"/>
      <c r="C799" s="35"/>
      <c r="D799" s="41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2.75" customHeight="1">
      <c r="A800" s="63"/>
      <c r="B800" s="64"/>
      <c r="C800" s="35"/>
      <c r="D800" s="41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2.75" customHeight="1">
      <c r="A801" s="63"/>
      <c r="B801" s="64"/>
      <c r="C801" s="35"/>
      <c r="D801" s="41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2.75" customHeight="1">
      <c r="A802" s="63"/>
      <c r="B802" s="64"/>
      <c r="C802" s="35"/>
      <c r="D802" s="41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2.75" customHeight="1">
      <c r="A803" s="63"/>
      <c r="B803" s="64"/>
      <c r="C803" s="35"/>
      <c r="D803" s="41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2.75" customHeight="1">
      <c r="A804" s="63"/>
      <c r="B804" s="64"/>
      <c r="C804" s="35"/>
      <c r="D804" s="41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2.75" customHeight="1">
      <c r="A805" s="63"/>
      <c r="B805" s="64"/>
      <c r="C805" s="35"/>
      <c r="D805" s="41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2.75" customHeight="1">
      <c r="A806" s="63"/>
      <c r="B806" s="64"/>
      <c r="C806" s="35"/>
      <c r="D806" s="41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2.75" customHeight="1">
      <c r="A807" s="63"/>
      <c r="B807" s="64"/>
      <c r="C807" s="35"/>
      <c r="D807" s="41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2.75" customHeight="1">
      <c r="A808" s="63"/>
      <c r="B808" s="64"/>
      <c r="C808" s="35"/>
      <c r="D808" s="41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2.75" customHeight="1">
      <c r="A809" s="63"/>
      <c r="B809" s="64"/>
      <c r="C809" s="35"/>
      <c r="D809" s="41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2.75" customHeight="1">
      <c r="A810" s="63"/>
      <c r="B810" s="64"/>
      <c r="C810" s="35"/>
      <c r="D810" s="41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2.75" customHeight="1">
      <c r="A811" s="63"/>
      <c r="B811" s="64"/>
      <c r="C811" s="35"/>
      <c r="D811" s="41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2.75" customHeight="1">
      <c r="A812" s="63"/>
      <c r="B812" s="64"/>
      <c r="C812" s="35"/>
      <c r="D812" s="41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2.75" customHeight="1">
      <c r="A813" s="63"/>
      <c r="B813" s="64"/>
      <c r="C813" s="35"/>
      <c r="D813" s="41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2.75" customHeight="1">
      <c r="A814" s="63"/>
      <c r="B814" s="64"/>
      <c r="C814" s="35"/>
      <c r="D814" s="41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2.75" customHeight="1">
      <c r="A815" s="63"/>
      <c r="B815" s="64"/>
      <c r="C815" s="35"/>
      <c r="D815" s="41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2.75" customHeight="1">
      <c r="A816" s="63"/>
      <c r="B816" s="64"/>
      <c r="C816" s="35"/>
      <c r="D816" s="41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2.75" customHeight="1">
      <c r="A817" s="63"/>
      <c r="B817" s="64"/>
      <c r="C817" s="35"/>
      <c r="D817" s="41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2.75" customHeight="1">
      <c r="A818" s="63"/>
      <c r="B818" s="64"/>
      <c r="C818" s="35"/>
      <c r="D818" s="41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2.75" customHeight="1">
      <c r="A819" s="63"/>
      <c r="B819" s="64"/>
      <c r="C819" s="35"/>
      <c r="D819" s="41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2.75" customHeight="1">
      <c r="A820" s="63"/>
      <c r="B820" s="64"/>
      <c r="C820" s="35"/>
      <c r="D820" s="41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2.75" customHeight="1">
      <c r="A821" s="63"/>
      <c r="B821" s="64"/>
      <c r="C821" s="35"/>
      <c r="D821" s="41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2.75" customHeight="1">
      <c r="A822" s="63"/>
      <c r="B822" s="64"/>
      <c r="C822" s="35"/>
      <c r="D822" s="41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2.75" customHeight="1">
      <c r="A823" s="63"/>
      <c r="B823" s="64"/>
      <c r="C823" s="35"/>
      <c r="D823" s="41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2.75" customHeight="1">
      <c r="A824" s="63"/>
      <c r="B824" s="64"/>
      <c r="C824" s="35"/>
      <c r="D824" s="41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2.75" customHeight="1">
      <c r="A825" s="63"/>
      <c r="B825" s="64"/>
      <c r="C825" s="35"/>
      <c r="D825" s="41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2.75" customHeight="1">
      <c r="A826" s="63"/>
      <c r="B826" s="64"/>
      <c r="C826" s="35"/>
      <c r="D826" s="41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2.75" customHeight="1">
      <c r="A827" s="63"/>
      <c r="B827" s="64"/>
      <c r="C827" s="35"/>
      <c r="D827" s="41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2.75" customHeight="1">
      <c r="A828" s="63"/>
      <c r="B828" s="64"/>
      <c r="C828" s="35"/>
      <c r="D828" s="41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2.75" customHeight="1">
      <c r="A829" s="63"/>
      <c r="B829" s="64"/>
      <c r="C829" s="35"/>
      <c r="D829" s="41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2.75" customHeight="1">
      <c r="A830" s="63"/>
      <c r="B830" s="64"/>
      <c r="C830" s="35"/>
      <c r="D830" s="41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2.75" customHeight="1">
      <c r="A831" s="63"/>
      <c r="B831" s="64"/>
      <c r="C831" s="35"/>
      <c r="D831" s="41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2.75" customHeight="1">
      <c r="A832" s="63"/>
      <c r="B832" s="64"/>
      <c r="C832" s="35"/>
      <c r="D832" s="41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2.75" customHeight="1">
      <c r="A833" s="63"/>
      <c r="B833" s="64"/>
      <c r="C833" s="35"/>
      <c r="D833" s="41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2.75" customHeight="1">
      <c r="A834" s="63"/>
      <c r="B834" s="64"/>
      <c r="C834" s="35"/>
      <c r="D834" s="41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2.75" customHeight="1">
      <c r="A835" s="63"/>
      <c r="B835" s="64"/>
      <c r="C835" s="35"/>
      <c r="D835" s="41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2.75" customHeight="1">
      <c r="A836" s="63"/>
      <c r="B836" s="64"/>
      <c r="C836" s="35"/>
      <c r="D836" s="41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2.75" customHeight="1">
      <c r="A837" s="63"/>
      <c r="B837" s="64"/>
      <c r="C837" s="35"/>
      <c r="D837" s="41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2.75" customHeight="1">
      <c r="A838" s="63"/>
      <c r="B838" s="64"/>
      <c r="C838" s="35"/>
      <c r="D838" s="41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2.75" customHeight="1">
      <c r="A839" s="63"/>
      <c r="B839" s="64"/>
      <c r="C839" s="35"/>
      <c r="D839" s="41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2.75" customHeight="1">
      <c r="A840" s="63"/>
      <c r="B840" s="64"/>
      <c r="C840" s="35"/>
      <c r="D840" s="41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2.75" customHeight="1">
      <c r="A841" s="63"/>
      <c r="B841" s="64"/>
      <c r="C841" s="35"/>
      <c r="D841" s="41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2.75" customHeight="1">
      <c r="A842" s="63"/>
      <c r="B842" s="64"/>
      <c r="C842" s="35"/>
      <c r="D842" s="41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2.75" customHeight="1">
      <c r="A843" s="63"/>
      <c r="B843" s="64"/>
      <c r="C843" s="35"/>
      <c r="D843" s="41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2.75" customHeight="1">
      <c r="A844" s="63"/>
      <c r="B844" s="64"/>
      <c r="C844" s="35"/>
      <c r="D844" s="41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2.75" customHeight="1">
      <c r="A845" s="63"/>
      <c r="B845" s="64"/>
      <c r="C845" s="35"/>
      <c r="D845" s="41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2.75" customHeight="1">
      <c r="A846" s="63"/>
      <c r="B846" s="64"/>
      <c r="C846" s="35"/>
      <c r="D846" s="41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2.75" customHeight="1">
      <c r="A847" s="63"/>
      <c r="B847" s="64"/>
      <c r="C847" s="35"/>
      <c r="D847" s="41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2.75" customHeight="1">
      <c r="A848" s="63"/>
      <c r="B848" s="64"/>
      <c r="C848" s="35"/>
      <c r="D848" s="41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2.75" customHeight="1">
      <c r="A849" s="63"/>
      <c r="B849" s="64"/>
      <c r="C849" s="35"/>
      <c r="D849" s="41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2.75" customHeight="1">
      <c r="A850" s="63"/>
      <c r="B850" s="64"/>
      <c r="C850" s="35"/>
      <c r="D850" s="41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2.75" customHeight="1">
      <c r="A851" s="63"/>
      <c r="B851" s="64"/>
      <c r="C851" s="35"/>
      <c r="D851" s="41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2.75" customHeight="1">
      <c r="A852" s="63"/>
      <c r="B852" s="64"/>
      <c r="C852" s="35"/>
      <c r="D852" s="41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2.75" customHeight="1">
      <c r="A853" s="63"/>
      <c r="B853" s="64"/>
      <c r="C853" s="35"/>
      <c r="D853" s="41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2.75" customHeight="1">
      <c r="A854" s="63"/>
      <c r="B854" s="64"/>
      <c r="C854" s="35"/>
      <c r="D854" s="41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2.75" customHeight="1">
      <c r="A855" s="63"/>
      <c r="B855" s="64"/>
      <c r="C855" s="35"/>
      <c r="D855" s="41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2.75" customHeight="1">
      <c r="A856" s="63"/>
      <c r="B856" s="64"/>
      <c r="C856" s="35"/>
      <c r="D856" s="41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2.75" customHeight="1">
      <c r="A857" s="63"/>
      <c r="B857" s="64"/>
      <c r="C857" s="35"/>
      <c r="D857" s="41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2.75" customHeight="1">
      <c r="A858" s="63"/>
      <c r="B858" s="64"/>
      <c r="C858" s="35"/>
      <c r="D858" s="41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2.75" customHeight="1">
      <c r="A859" s="63"/>
      <c r="B859" s="64"/>
      <c r="C859" s="35"/>
      <c r="D859" s="41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2.75" customHeight="1">
      <c r="A860" s="63"/>
      <c r="B860" s="64"/>
      <c r="C860" s="35"/>
      <c r="D860" s="41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2.75" customHeight="1">
      <c r="A861" s="63"/>
      <c r="B861" s="64"/>
      <c r="C861" s="35"/>
      <c r="D861" s="41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2.75" customHeight="1">
      <c r="A862" s="63"/>
      <c r="B862" s="64"/>
      <c r="C862" s="35"/>
      <c r="D862" s="41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2.75" customHeight="1">
      <c r="A863" s="63"/>
      <c r="B863" s="64"/>
      <c r="C863" s="35"/>
      <c r="D863" s="41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2.75" customHeight="1">
      <c r="A864" s="63"/>
      <c r="B864" s="64"/>
      <c r="C864" s="35"/>
      <c r="D864" s="41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2.75" customHeight="1">
      <c r="A865" s="63"/>
      <c r="B865" s="64"/>
      <c r="C865" s="35"/>
      <c r="D865" s="41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2.75" customHeight="1">
      <c r="A866" s="63"/>
      <c r="B866" s="64"/>
      <c r="C866" s="35"/>
      <c r="D866" s="41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2.75" customHeight="1">
      <c r="A867" s="63"/>
      <c r="B867" s="64"/>
      <c r="C867" s="35"/>
      <c r="D867" s="41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2.75" customHeight="1">
      <c r="A868" s="63"/>
      <c r="B868" s="64"/>
      <c r="C868" s="35"/>
      <c r="D868" s="41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2.75" customHeight="1">
      <c r="A869" s="63"/>
      <c r="B869" s="64"/>
      <c r="C869" s="35"/>
      <c r="D869" s="41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2.75" customHeight="1">
      <c r="A870" s="63"/>
      <c r="B870" s="64"/>
      <c r="C870" s="35"/>
      <c r="D870" s="41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2.75" customHeight="1">
      <c r="A871" s="63"/>
      <c r="B871" s="64"/>
      <c r="C871" s="35"/>
      <c r="D871" s="41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2.75" customHeight="1">
      <c r="A872" s="63"/>
      <c r="B872" s="64"/>
      <c r="C872" s="35"/>
      <c r="D872" s="41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2.75" customHeight="1">
      <c r="A873" s="63"/>
      <c r="B873" s="64"/>
      <c r="C873" s="35"/>
      <c r="D873" s="41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2.75" customHeight="1">
      <c r="A874" s="63"/>
      <c r="B874" s="64"/>
      <c r="C874" s="35"/>
      <c r="D874" s="41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2.75" customHeight="1">
      <c r="A875" s="63"/>
      <c r="B875" s="64"/>
      <c r="C875" s="35"/>
      <c r="D875" s="41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2.75" customHeight="1">
      <c r="A876" s="63"/>
      <c r="B876" s="64"/>
      <c r="C876" s="35"/>
      <c r="D876" s="41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2.75" customHeight="1">
      <c r="A877" s="63"/>
      <c r="B877" s="64"/>
      <c r="C877" s="35"/>
      <c r="D877" s="41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2.75" customHeight="1">
      <c r="A878" s="63"/>
      <c r="B878" s="64"/>
      <c r="C878" s="35"/>
      <c r="D878" s="41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2.75" customHeight="1">
      <c r="A879" s="63"/>
      <c r="B879" s="64"/>
      <c r="C879" s="35"/>
      <c r="D879" s="41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2.75" customHeight="1">
      <c r="A880" s="63"/>
      <c r="B880" s="64"/>
      <c r="C880" s="35"/>
      <c r="D880" s="41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2.75" customHeight="1">
      <c r="A881" s="63"/>
      <c r="B881" s="64"/>
      <c r="C881" s="35"/>
      <c r="D881" s="41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2.75" customHeight="1">
      <c r="A882" s="63"/>
      <c r="B882" s="64"/>
      <c r="C882" s="35"/>
      <c r="D882" s="41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2.75" customHeight="1">
      <c r="A883" s="63"/>
      <c r="B883" s="64"/>
      <c r="C883" s="35"/>
      <c r="D883" s="41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2.75" customHeight="1">
      <c r="A884" s="63"/>
      <c r="B884" s="64"/>
      <c r="C884" s="35"/>
      <c r="D884" s="41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2.75" customHeight="1">
      <c r="A885" s="63"/>
      <c r="B885" s="64"/>
      <c r="C885" s="35"/>
      <c r="D885" s="41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2.75" customHeight="1">
      <c r="A886" s="63"/>
      <c r="B886" s="64"/>
      <c r="C886" s="35"/>
      <c r="D886" s="41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2.75" customHeight="1">
      <c r="A887" s="63"/>
      <c r="B887" s="64"/>
      <c r="C887" s="35"/>
      <c r="D887" s="41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2.75" customHeight="1">
      <c r="A888" s="63"/>
      <c r="B888" s="64"/>
      <c r="C888" s="35"/>
      <c r="D888" s="41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2.75" customHeight="1">
      <c r="A889" s="63"/>
      <c r="B889" s="64"/>
      <c r="C889" s="35"/>
      <c r="D889" s="41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2.75" customHeight="1">
      <c r="A890" s="63"/>
      <c r="B890" s="64"/>
      <c r="C890" s="35"/>
      <c r="D890" s="41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2.75" customHeight="1">
      <c r="A891" s="63"/>
      <c r="B891" s="64"/>
      <c r="C891" s="35"/>
      <c r="D891" s="41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2.75" customHeight="1">
      <c r="A892" s="63"/>
      <c r="B892" s="64"/>
      <c r="C892" s="35"/>
      <c r="D892" s="41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2.75" customHeight="1">
      <c r="A893" s="63"/>
      <c r="B893" s="64"/>
      <c r="C893" s="35"/>
      <c r="D893" s="41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2.75" customHeight="1">
      <c r="A894" s="63"/>
      <c r="B894" s="64"/>
      <c r="C894" s="35"/>
      <c r="D894" s="41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2.75" customHeight="1">
      <c r="A895" s="63"/>
      <c r="B895" s="64"/>
      <c r="C895" s="35"/>
      <c r="D895" s="41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2.75" customHeight="1">
      <c r="A896" s="63"/>
      <c r="B896" s="64"/>
      <c r="C896" s="35"/>
      <c r="D896" s="41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2.75" customHeight="1">
      <c r="A897" s="63"/>
      <c r="B897" s="64"/>
      <c r="C897" s="35"/>
      <c r="D897" s="41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2.75" customHeight="1">
      <c r="A898" s="63"/>
      <c r="B898" s="64"/>
      <c r="C898" s="35"/>
      <c r="D898" s="41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2.75" customHeight="1">
      <c r="A899" s="63"/>
      <c r="B899" s="64"/>
      <c r="C899" s="35"/>
      <c r="D899" s="41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2.75" customHeight="1">
      <c r="A900" s="63"/>
      <c r="B900" s="64"/>
      <c r="C900" s="35"/>
      <c r="D900" s="41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2.75" customHeight="1">
      <c r="A901" s="63"/>
      <c r="B901" s="64"/>
      <c r="C901" s="35"/>
      <c r="D901" s="41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2.75" customHeight="1">
      <c r="A902" s="63"/>
      <c r="B902" s="64"/>
      <c r="C902" s="35"/>
      <c r="D902" s="41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2.75" customHeight="1">
      <c r="A903" s="63"/>
      <c r="B903" s="64"/>
      <c r="C903" s="35"/>
      <c r="D903" s="41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2.75" customHeight="1">
      <c r="A904" s="63"/>
      <c r="B904" s="64"/>
      <c r="C904" s="35"/>
      <c r="D904" s="41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2.75" customHeight="1">
      <c r="A905" s="63"/>
      <c r="B905" s="64"/>
      <c r="C905" s="35"/>
      <c r="D905" s="41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2.75" customHeight="1">
      <c r="A906" s="63"/>
      <c r="B906" s="64"/>
      <c r="C906" s="35"/>
      <c r="D906" s="41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2.75" customHeight="1">
      <c r="A907" s="63"/>
      <c r="B907" s="64"/>
      <c r="C907" s="35"/>
      <c r="D907" s="41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2.75" customHeight="1">
      <c r="A908" s="63"/>
      <c r="B908" s="64"/>
      <c r="C908" s="35"/>
      <c r="D908" s="41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2.75" customHeight="1">
      <c r="A909" s="63"/>
      <c r="B909" s="64"/>
      <c r="C909" s="35"/>
      <c r="D909" s="41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2.75" customHeight="1">
      <c r="A910" s="63"/>
      <c r="B910" s="64"/>
      <c r="C910" s="35"/>
      <c r="D910" s="41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2.75" customHeight="1">
      <c r="A911" s="63"/>
      <c r="B911" s="64"/>
      <c r="C911" s="35"/>
      <c r="D911" s="41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2.75" customHeight="1">
      <c r="A912" s="63"/>
      <c r="B912" s="64"/>
      <c r="C912" s="35"/>
      <c r="D912" s="41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2.75" customHeight="1">
      <c r="A913" s="63"/>
      <c r="B913" s="64"/>
      <c r="C913" s="35"/>
      <c r="D913" s="41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2.75" customHeight="1">
      <c r="A914" s="63"/>
      <c r="B914" s="64"/>
      <c r="C914" s="35"/>
      <c r="D914" s="41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2.75" customHeight="1">
      <c r="A915" s="63"/>
      <c r="B915" s="64"/>
      <c r="C915" s="35"/>
      <c r="D915" s="41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2.75" customHeight="1">
      <c r="A916" s="63"/>
      <c r="B916" s="64"/>
      <c r="C916" s="35"/>
      <c r="D916" s="41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2.75" customHeight="1">
      <c r="A917" s="63"/>
      <c r="B917" s="64"/>
      <c r="C917" s="35"/>
      <c r="D917" s="41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2.75" customHeight="1">
      <c r="A918" s="63"/>
      <c r="B918" s="64"/>
      <c r="C918" s="35"/>
      <c r="D918" s="41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2.75" customHeight="1">
      <c r="A919" s="63"/>
      <c r="B919" s="64"/>
      <c r="C919" s="35"/>
      <c r="D919" s="41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2.75" customHeight="1">
      <c r="A920" s="63"/>
      <c r="B920" s="64"/>
      <c r="C920" s="35"/>
      <c r="D920" s="41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2.75" customHeight="1">
      <c r="A921" s="63"/>
      <c r="B921" s="64"/>
      <c r="C921" s="35"/>
      <c r="D921" s="41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2.75" customHeight="1">
      <c r="A922" s="63"/>
      <c r="B922" s="64"/>
      <c r="C922" s="35"/>
      <c r="D922" s="41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2.75" customHeight="1">
      <c r="A923" s="63"/>
      <c r="B923" s="64"/>
      <c r="C923" s="35"/>
      <c r="D923" s="41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2.75" customHeight="1">
      <c r="A924" s="63"/>
      <c r="B924" s="64"/>
      <c r="C924" s="35"/>
      <c r="D924" s="41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2.75" customHeight="1">
      <c r="A925" s="63"/>
      <c r="B925" s="64"/>
      <c r="C925" s="35"/>
      <c r="D925" s="41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2.75" customHeight="1">
      <c r="A926" s="63"/>
      <c r="B926" s="64"/>
      <c r="C926" s="35"/>
      <c r="D926" s="41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2.75" customHeight="1">
      <c r="A927" s="63"/>
      <c r="B927" s="64"/>
      <c r="C927" s="35"/>
      <c r="D927" s="41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2.75" customHeight="1">
      <c r="A928" s="63"/>
      <c r="B928" s="64"/>
      <c r="C928" s="35"/>
      <c r="D928" s="41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2.75" customHeight="1">
      <c r="A929" s="63"/>
      <c r="B929" s="64"/>
      <c r="C929" s="35"/>
      <c r="D929" s="41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2.75" customHeight="1">
      <c r="A930" s="63"/>
      <c r="B930" s="64"/>
      <c r="C930" s="35"/>
      <c r="D930" s="41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2.75" customHeight="1">
      <c r="A931" s="63"/>
      <c r="B931" s="64"/>
      <c r="C931" s="35"/>
      <c r="D931" s="41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2.75" customHeight="1">
      <c r="A932" s="63"/>
      <c r="B932" s="64"/>
      <c r="C932" s="35"/>
      <c r="D932" s="41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2.75" customHeight="1">
      <c r="A933" s="63"/>
      <c r="B933" s="64"/>
      <c r="C933" s="35"/>
      <c r="D933" s="41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2.75" customHeight="1">
      <c r="A934" s="63"/>
      <c r="B934" s="64"/>
      <c r="C934" s="35"/>
      <c r="D934" s="41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2.75" customHeight="1">
      <c r="A935" s="63"/>
      <c r="B935" s="64"/>
      <c r="C935" s="35"/>
      <c r="D935" s="41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2.75" customHeight="1">
      <c r="A936" s="63"/>
      <c r="B936" s="64"/>
      <c r="C936" s="35"/>
      <c r="D936" s="41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2.75" customHeight="1">
      <c r="A937" s="63"/>
      <c r="B937" s="64"/>
      <c r="C937" s="35"/>
      <c r="D937" s="41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2.75" customHeight="1">
      <c r="A938" s="63"/>
      <c r="B938" s="64"/>
      <c r="C938" s="35"/>
      <c r="D938" s="41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2.75" customHeight="1">
      <c r="A939" s="63"/>
      <c r="B939" s="64"/>
      <c r="C939" s="35"/>
      <c r="D939" s="41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2.75" customHeight="1">
      <c r="A940" s="63"/>
      <c r="B940" s="64"/>
      <c r="C940" s="35"/>
      <c r="D940" s="41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2.75" customHeight="1">
      <c r="A941" s="63"/>
      <c r="B941" s="64"/>
      <c r="C941" s="35"/>
      <c r="D941" s="41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2.75" customHeight="1">
      <c r="A942" s="63"/>
      <c r="B942" s="64"/>
      <c r="C942" s="35"/>
      <c r="D942" s="41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2.75" customHeight="1">
      <c r="A943" s="63"/>
      <c r="B943" s="64"/>
      <c r="C943" s="35"/>
      <c r="D943" s="41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2.75" customHeight="1">
      <c r="A944" s="63"/>
      <c r="B944" s="64"/>
      <c r="C944" s="35"/>
      <c r="D944" s="41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2.75" customHeight="1">
      <c r="A945" s="63"/>
      <c r="B945" s="64"/>
      <c r="C945" s="35"/>
      <c r="D945" s="41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2.75" customHeight="1">
      <c r="A946" s="63"/>
      <c r="B946" s="64"/>
      <c r="C946" s="35"/>
      <c r="D946" s="41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2.75" customHeight="1">
      <c r="A947" s="63"/>
      <c r="B947" s="64"/>
      <c r="C947" s="35"/>
      <c r="D947" s="41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2.75" customHeight="1">
      <c r="A948" s="63"/>
      <c r="B948" s="64"/>
      <c r="C948" s="35"/>
      <c r="D948" s="41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2.75" customHeight="1">
      <c r="A949" s="63"/>
      <c r="B949" s="64"/>
      <c r="C949" s="35"/>
      <c r="D949" s="41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2.75" customHeight="1">
      <c r="A950" s="63"/>
      <c r="B950" s="64"/>
      <c r="C950" s="35"/>
      <c r="D950" s="41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2.75" customHeight="1">
      <c r="A951" s="63"/>
      <c r="B951" s="64"/>
      <c r="C951" s="35"/>
      <c r="D951" s="41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2.75" customHeight="1">
      <c r="A952" s="63"/>
      <c r="B952" s="64"/>
      <c r="C952" s="35"/>
      <c r="D952" s="41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2.75" customHeight="1">
      <c r="A953" s="63"/>
      <c r="B953" s="64"/>
      <c r="C953" s="35"/>
      <c r="D953" s="41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2.75" customHeight="1">
      <c r="A954" s="63"/>
      <c r="B954" s="64"/>
      <c r="C954" s="35"/>
      <c r="D954" s="41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2.75" customHeight="1">
      <c r="A955" s="63"/>
      <c r="B955" s="64"/>
      <c r="C955" s="35"/>
      <c r="D955" s="41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2.75" customHeight="1">
      <c r="A956" s="63"/>
      <c r="B956" s="64"/>
      <c r="C956" s="35"/>
      <c r="D956" s="41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2.75" customHeight="1">
      <c r="A957" s="63"/>
      <c r="B957" s="64"/>
      <c r="C957" s="35"/>
      <c r="D957" s="41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2.75" customHeight="1">
      <c r="A958" s="63"/>
      <c r="B958" s="64"/>
      <c r="C958" s="35"/>
      <c r="D958" s="41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2.75" customHeight="1">
      <c r="A959" s="63"/>
      <c r="B959" s="64"/>
      <c r="C959" s="35"/>
      <c r="D959" s="41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2.75" customHeight="1">
      <c r="A960" s="63"/>
      <c r="B960" s="64"/>
      <c r="C960" s="35"/>
      <c r="D960" s="41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2.75" customHeight="1">
      <c r="A961" s="63"/>
      <c r="B961" s="64"/>
      <c r="C961" s="35"/>
      <c r="D961" s="41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2.75" customHeight="1">
      <c r="A962" s="63"/>
      <c r="B962" s="64"/>
      <c r="C962" s="35"/>
      <c r="D962" s="41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2.75" customHeight="1">
      <c r="A963" s="63"/>
      <c r="B963" s="64"/>
      <c r="C963" s="35"/>
      <c r="D963" s="41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2.75" customHeight="1">
      <c r="A964" s="63"/>
      <c r="B964" s="64"/>
      <c r="C964" s="35"/>
      <c r="D964" s="41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2.75" customHeight="1">
      <c r="A965" s="63"/>
      <c r="B965" s="64"/>
      <c r="C965" s="35"/>
      <c r="D965" s="41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2.75" customHeight="1">
      <c r="A966" s="63"/>
      <c r="B966" s="64"/>
      <c r="C966" s="35"/>
      <c r="D966" s="41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2.75" customHeight="1">
      <c r="A967" s="63"/>
      <c r="B967" s="64"/>
      <c r="C967" s="35"/>
      <c r="D967" s="41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2.75" customHeight="1">
      <c r="A968" s="63"/>
      <c r="B968" s="64"/>
      <c r="C968" s="35"/>
      <c r="D968" s="41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2.75" customHeight="1">
      <c r="A969" s="63"/>
      <c r="B969" s="64"/>
      <c r="C969" s="35"/>
      <c r="D969" s="41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2.75" customHeight="1">
      <c r="A970" s="63"/>
      <c r="B970" s="64"/>
      <c r="C970" s="35"/>
      <c r="D970" s="41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2.75" customHeight="1">
      <c r="A971" s="63"/>
      <c r="B971" s="64"/>
      <c r="C971" s="35"/>
      <c r="D971" s="41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2.75" customHeight="1">
      <c r="A972" s="63"/>
      <c r="B972" s="64"/>
      <c r="C972" s="35"/>
      <c r="D972" s="41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2.75" customHeight="1">
      <c r="A973" s="63"/>
      <c r="B973" s="64"/>
      <c r="C973" s="35"/>
      <c r="D973" s="41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2.75" customHeight="1">
      <c r="A974" s="63"/>
      <c r="B974" s="64"/>
      <c r="C974" s="35"/>
      <c r="D974" s="41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2.75" customHeight="1">
      <c r="A975" s="63"/>
      <c r="B975" s="64"/>
      <c r="C975" s="35"/>
      <c r="D975" s="41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2.75" customHeight="1">
      <c r="A976" s="63"/>
      <c r="B976" s="64"/>
      <c r="C976" s="35"/>
      <c r="D976" s="41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2.75" customHeight="1">
      <c r="A977" s="63"/>
      <c r="B977" s="64"/>
      <c r="C977" s="35"/>
      <c r="D977" s="41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2.75" customHeight="1">
      <c r="A978" s="63"/>
      <c r="B978" s="64"/>
      <c r="C978" s="35"/>
      <c r="D978" s="41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2.75" customHeight="1">
      <c r="A979" s="63"/>
      <c r="B979" s="64"/>
      <c r="C979" s="35"/>
      <c r="D979" s="41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2.75" customHeight="1">
      <c r="A980" s="63"/>
      <c r="B980" s="64"/>
      <c r="C980" s="35"/>
      <c r="D980" s="41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2.75" customHeight="1">
      <c r="A981" s="63"/>
      <c r="B981" s="64"/>
      <c r="C981" s="35"/>
      <c r="D981" s="41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2.75" customHeight="1">
      <c r="A982" s="63"/>
      <c r="B982" s="64"/>
      <c r="C982" s="35"/>
      <c r="D982" s="41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2.75" customHeight="1">
      <c r="A983" s="63"/>
      <c r="B983" s="64"/>
      <c r="C983" s="35"/>
      <c r="D983" s="41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2.75" customHeight="1">
      <c r="A984" s="63"/>
      <c r="B984" s="64"/>
      <c r="C984" s="35"/>
      <c r="D984" s="41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2.75" customHeight="1">
      <c r="A985" s="63"/>
      <c r="B985" s="64"/>
      <c r="C985" s="35"/>
      <c r="D985" s="41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2.75" customHeight="1">
      <c r="A986" s="63"/>
      <c r="B986" s="64"/>
      <c r="C986" s="35"/>
      <c r="D986" s="41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2.75" customHeight="1">
      <c r="A987" s="63"/>
      <c r="B987" s="64"/>
      <c r="C987" s="35"/>
      <c r="D987" s="41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2.75" customHeight="1">
      <c r="A988" s="63"/>
      <c r="B988" s="64"/>
      <c r="C988" s="35"/>
      <c r="D988" s="41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2.75" customHeight="1">
      <c r="A989" s="63"/>
      <c r="B989" s="64"/>
      <c r="C989" s="35"/>
      <c r="D989" s="41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2.75" customHeight="1">
      <c r="A990" s="63"/>
      <c r="B990" s="64"/>
      <c r="C990" s="35"/>
      <c r="D990" s="41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2.75" customHeight="1">
      <c r="A991" s="63"/>
      <c r="B991" s="64"/>
      <c r="C991" s="35"/>
      <c r="D991" s="41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2.75" customHeight="1">
      <c r="A992" s="63"/>
      <c r="B992" s="64"/>
      <c r="C992" s="35"/>
      <c r="D992" s="41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2.75" customHeight="1">
      <c r="A993" s="63"/>
      <c r="B993" s="64"/>
      <c r="C993" s="35"/>
      <c r="D993" s="41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2.75" customHeight="1">
      <c r="A994" s="63"/>
      <c r="B994" s="64"/>
      <c r="C994" s="35"/>
      <c r="D994" s="41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2.75" customHeight="1">
      <c r="A995" s="63"/>
      <c r="B995" s="64"/>
      <c r="C995" s="35"/>
      <c r="D995" s="41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2.75" customHeight="1">
      <c r="A996" s="63"/>
      <c r="B996" s="64"/>
      <c r="C996" s="35"/>
      <c r="D996" s="41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2.75" customHeight="1">
      <c r="A997" s="63"/>
      <c r="B997" s="64"/>
      <c r="C997" s="35"/>
      <c r="D997" s="41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2.75" customHeight="1">
      <c r="A998" s="63"/>
      <c r="B998" s="64"/>
      <c r="C998" s="35"/>
      <c r="D998" s="41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2.75" customHeight="1">
      <c r="A999" s="63"/>
      <c r="B999" s="64"/>
      <c r="C999" s="35"/>
      <c r="D999" s="41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2.75" customHeight="1">
      <c r="A1000" s="63"/>
      <c r="B1000" s="64"/>
      <c r="C1000" s="35"/>
      <c r="D1000" s="41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ht="12.75" customHeight="1">
      <c r="A1001" s="63"/>
      <c r="B1001" s="64"/>
      <c r="C1001" s="35"/>
      <c r="D1001" s="41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ht="12.75" customHeight="1">
      <c r="A1002" s="63"/>
      <c r="B1002" s="64"/>
      <c r="C1002" s="35"/>
      <c r="D1002" s="41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ht="12.75" customHeight="1">
      <c r="A1003" s="63"/>
      <c r="B1003" s="64"/>
      <c r="C1003" s="35"/>
      <c r="D1003" s="41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ht="12.75" customHeight="1">
      <c r="A1004" s="63"/>
      <c r="B1004" s="64"/>
      <c r="C1004" s="35"/>
      <c r="D1004" s="41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ht="12.75" customHeight="1">
      <c r="A1005" s="63"/>
      <c r="B1005" s="64"/>
      <c r="C1005" s="35"/>
      <c r="D1005" s="41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</sheetData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7">
    <cfRule type="containsText" dxfId="0" priority="3" operator="containsText" text="Done">
      <formula>NOT(ISERROR(SEARCH(("Done"),(D3))))</formula>
    </cfRule>
  </conditionalFormatting>
  <conditionalFormatting sqref="D3:D1005 H3:H7">
    <cfRule type="containsText" dxfId="1" priority="4" operator="containsText" text="In Progress">
      <formula>NOT(ISERROR(SEARCH(("In Progress"),(D3))))</formula>
    </cfRule>
  </conditionalFormatting>
  <conditionalFormatting sqref="D3:D1005 H3:H7">
    <cfRule type="containsText" dxfId="11" priority="5" operator="containsText" text="Not Started">
      <formula>NOT(ISERROR(SEARCH(("Not Started"),(D3))))</formula>
    </cfRule>
  </conditionalFormatting>
  <conditionalFormatting sqref="D3:D1005 H3:H7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 Page" location="Overview!A1" ref="G11"/>
    <hyperlink display="Home" location="Overview!A1" ref="G12"/>
    <hyperlink display="Next" location="'DNP Parts'!A1" ref="G1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2.13"/>
    <col customWidth="1" min="3" max="3" width="38.13"/>
    <col customWidth="1" min="4" max="4" width="15.63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83</v>
      </c>
      <c r="B1" s="2"/>
      <c r="C1" s="2"/>
      <c r="D1" s="2"/>
      <c r="E1" s="3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65"/>
      <c r="G2" s="38" t="s">
        <v>59</v>
      </c>
      <c r="H2" s="3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2.75" customHeight="1">
      <c r="A3" s="39">
        <v>1.0</v>
      </c>
      <c r="B3" s="40" t="s">
        <v>84</v>
      </c>
      <c r="C3" s="40"/>
      <c r="D3" s="41" t="s">
        <v>62</v>
      </c>
      <c r="E3" s="42"/>
      <c r="F3" s="35"/>
      <c r="G3" s="43">
        <f>COUNTIF(D:D,"Done")</f>
        <v>1</v>
      </c>
      <c r="H3" s="41" t="s">
        <v>62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2.75" customHeight="1">
      <c r="A4" s="39">
        <v>2.0</v>
      </c>
      <c r="B4" s="40" t="s">
        <v>85</v>
      </c>
      <c r="C4" s="40"/>
      <c r="D4" s="41" t="s">
        <v>64</v>
      </c>
      <c r="E4" s="42"/>
      <c r="F4" s="35"/>
      <c r="G4" s="43">
        <f>COUNTIF(D:D,"In Progress")</f>
        <v>1</v>
      </c>
      <c r="H4" s="41" t="s">
        <v>64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2.75" customHeight="1">
      <c r="A5" s="39"/>
      <c r="B5" s="40"/>
      <c r="C5" s="40"/>
      <c r="D5" s="41"/>
      <c r="E5" s="42"/>
      <c r="F5" s="35"/>
      <c r="G5" s="43">
        <f>COUNTIF(D:D,"Issue Triggered")</f>
        <v>0</v>
      </c>
      <c r="H5" s="46" t="s">
        <v>15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2.75" customHeight="1">
      <c r="A6" s="39"/>
      <c r="B6" s="40"/>
      <c r="C6" s="40"/>
      <c r="D6" s="41"/>
      <c r="E6" s="42"/>
      <c r="F6" s="35"/>
      <c r="G6" s="43">
        <f t="shared" ref="G6:G7" si="1">COUNTIF(D:D,"NA")</f>
        <v>0</v>
      </c>
      <c r="H6" s="47" t="s">
        <v>67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2.75" customHeight="1">
      <c r="A7" s="39"/>
      <c r="B7" s="40"/>
      <c r="C7" s="40"/>
      <c r="D7" s="41"/>
      <c r="E7" s="42"/>
      <c r="F7" s="35"/>
      <c r="G7" s="43">
        <f t="shared" si="1"/>
        <v>0</v>
      </c>
      <c r="H7" s="48" t="s">
        <v>61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2.75" customHeight="1">
      <c r="A8" s="39"/>
      <c r="B8" s="40"/>
      <c r="C8" s="40"/>
      <c r="D8" s="41"/>
      <c r="E8" s="42"/>
      <c r="F8" s="35"/>
      <c r="G8" s="43">
        <f>COUNTIF(B3:B1000,"&lt;&gt;")</f>
        <v>2</v>
      </c>
      <c r="H8" s="49" t="s">
        <v>70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2.75" customHeight="1">
      <c r="A9" s="39"/>
      <c r="B9" s="40"/>
      <c r="C9" s="40"/>
      <c r="D9" s="41"/>
      <c r="E9" s="42"/>
      <c r="F9" s="35"/>
      <c r="G9" s="66" t="str">
        <f>IF((G8)=(G3+G7),"Completed","Pending")</f>
        <v>Pending</v>
      </c>
      <c r="H9" s="51" t="s">
        <v>72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2.75" customHeight="1">
      <c r="A10" s="39"/>
      <c r="B10" s="40"/>
      <c r="C10" s="40"/>
      <c r="D10" s="41"/>
      <c r="E10" s="42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2.75" customHeight="1">
      <c r="A11" s="39"/>
      <c r="B11" s="40"/>
      <c r="C11" s="40"/>
      <c r="D11" s="41"/>
      <c r="E11" s="42"/>
      <c r="F11" s="35"/>
      <c r="G11" s="67" t="s">
        <v>75</v>
      </c>
      <c r="H11" s="6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2.75" customHeight="1">
      <c r="A12" s="39"/>
      <c r="B12" s="40"/>
      <c r="C12" s="40"/>
      <c r="D12" s="41"/>
      <c r="E12" s="42"/>
      <c r="F12" s="35"/>
      <c r="G12" s="53" t="s">
        <v>77</v>
      </c>
      <c r="H12" s="54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2.75" customHeight="1">
      <c r="A13" s="39"/>
      <c r="B13" s="40"/>
      <c r="C13" s="40"/>
      <c r="D13" s="41"/>
      <c r="E13" s="42"/>
      <c r="F13" s="35"/>
      <c r="G13" s="5" t="s">
        <v>79</v>
      </c>
      <c r="H13" s="6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2.75" customHeight="1">
      <c r="A14" s="39"/>
      <c r="B14" s="40"/>
      <c r="C14" s="40"/>
      <c r="D14" s="41"/>
      <c r="E14" s="42"/>
      <c r="F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2.75" customHeight="1">
      <c r="A15" s="39"/>
      <c r="B15" s="40"/>
      <c r="C15" s="40"/>
      <c r="D15" s="41"/>
      <c r="E15" s="42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2.75" customHeight="1">
      <c r="A16" s="39"/>
      <c r="B16" s="40"/>
      <c r="C16" s="40"/>
      <c r="D16" s="41"/>
      <c r="E16" s="42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2.75" customHeight="1">
      <c r="A17" s="39"/>
      <c r="B17" s="40"/>
      <c r="C17" s="40"/>
      <c r="D17" s="68"/>
      <c r="E17" s="42"/>
      <c r="F17" s="35"/>
      <c r="G17" s="69" t="s">
        <v>86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2.75" customHeight="1">
      <c r="A18" s="39"/>
      <c r="B18" s="40"/>
      <c r="C18" s="40"/>
      <c r="D18" s="68"/>
      <c r="E18" s="42"/>
      <c r="F18" s="35"/>
      <c r="G18" s="69" t="s">
        <v>86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2.75" customHeight="1">
      <c r="A19" s="39"/>
      <c r="B19" s="40"/>
      <c r="C19" s="40"/>
      <c r="D19" s="68"/>
      <c r="E19" s="42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2.75" customHeight="1">
      <c r="A20" s="39"/>
      <c r="B20" s="40"/>
      <c r="C20" s="40"/>
      <c r="D20" s="68"/>
      <c r="E20" s="42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2.75" customHeight="1">
      <c r="A21" s="39"/>
      <c r="B21" s="40"/>
      <c r="C21" s="40"/>
      <c r="D21" s="68"/>
      <c r="E21" s="42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2.75" customHeight="1">
      <c r="A22" s="39"/>
      <c r="B22" s="40"/>
      <c r="C22" s="40"/>
      <c r="D22" s="68"/>
      <c r="E22" s="42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2.75" customHeight="1">
      <c r="A23" s="39"/>
      <c r="B23" s="40"/>
      <c r="C23" s="40"/>
      <c r="D23" s="68"/>
      <c r="E23" s="42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2.75" customHeight="1">
      <c r="A24" s="39"/>
      <c r="B24" s="40"/>
      <c r="C24" s="40"/>
      <c r="D24" s="68"/>
      <c r="E24" s="42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75" customHeight="1">
      <c r="A25" s="39"/>
      <c r="B25" s="40"/>
      <c r="C25" s="40"/>
      <c r="D25" s="68"/>
      <c r="E25" s="42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2.75" customHeight="1">
      <c r="A26" s="39"/>
      <c r="B26" s="59"/>
      <c r="C26" s="40"/>
      <c r="D26" s="68"/>
      <c r="E26" s="42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2.75" customHeight="1">
      <c r="A27" s="39"/>
      <c r="B27" s="60"/>
      <c r="C27" s="40"/>
      <c r="D27" s="68"/>
      <c r="E27" s="42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2.75" customHeight="1">
      <c r="A28" s="39"/>
      <c r="B28" s="61"/>
      <c r="C28" s="40"/>
      <c r="D28" s="68"/>
      <c r="E28" s="42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2.75" customHeight="1">
      <c r="A29" s="39"/>
      <c r="B29" s="40"/>
      <c r="C29" s="40"/>
      <c r="D29" s="68"/>
      <c r="E29" s="42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2.75" customHeight="1">
      <c r="A30" s="39"/>
      <c r="B30" s="40"/>
      <c r="C30" s="40"/>
      <c r="D30" s="68"/>
      <c r="E30" s="42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2.75" customHeight="1">
      <c r="A31" s="39"/>
      <c r="B31" s="40"/>
      <c r="C31" s="40"/>
      <c r="D31" s="68"/>
      <c r="E31" s="42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2.75" customHeight="1">
      <c r="A32" s="39"/>
      <c r="B32" s="40"/>
      <c r="C32" s="40"/>
      <c r="D32" s="68"/>
      <c r="E32" s="42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2.75" customHeight="1">
      <c r="A33" s="39"/>
      <c r="B33" s="40"/>
      <c r="C33" s="40"/>
      <c r="D33" s="68"/>
      <c r="E33" s="42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2.75" customHeight="1">
      <c r="A34" s="39"/>
      <c r="B34" s="40"/>
      <c r="C34" s="40"/>
      <c r="D34" s="68"/>
      <c r="E34" s="42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2.75" customHeight="1">
      <c r="A35" s="39"/>
      <c r="B35" s="40"/>
      <c r="C35" s="40"/>
      <c r="D35" s="68"/>
      <c r="E35" s="42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2.75" customHeight="1">
      <c r="A36" s="39"/>
      <c r="B36" s="61"/>
      <c r="C36" s="40"/>
      <c r="D36" s="68"/>
      <c r="E36" s="42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2.75" customHeight="1">
      <c r="A37" s="39"/>
      <c r="B37" s="61"/>
      <c r="C37" s="40"/>
      <c r="D37" s="68"/>
      <c r="E37" s="42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2.75" customHeight="1">
      <c r="A38" s="39"/>
      <c r="B38" s="40"/>
      <c r="C38" s="40"/>
      <c r="D38" s="68"/>
      <c r="E38" s="42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2.75" customHeight="1">
      <c r="A39" s="39"/>
      <c r="B39" s="40"/>
      <c r="C39" s="40"/>
      <c r="D39" s="68"/>
      <c r="E39" s="42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2.75" customHeight="1">
      <c r="A40" s="39"/>
      <c r="B40" s="40"/>
      <c r="C40" s="40"/>
      <c r="D40" s="68"/>
      <c r="E40" s="42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2.75" customHeight="1">
      <c r="A41" s="39"/>
      <c r="B41" s="40"/>
      <c r="C41" s="40"/>
      <c r="D41" s="68"/>
      <c r="E41" s="42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2.75" customHeight="1">
      <c r="A42" s="39"/>
      <c r="B42" s="40"/>
      <c r="C42" s="40"/>
      <c r="D42" s="68"/>
      <c r="E42" s="42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2.75" customHeight="1">
      <c r="A43" s="39"/>
      <c r="B43" s="40"/>
      <c r="C43" s="40"/>
      <c r="D43" s="68"/>
      <c r="E43" s="42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2.75" customHeight="1">
      <c r="A44" s="39"/>
      <c r="B44" s="40"/>
      <c r="C44" s="40"/>
      <c r="D44" s="68"/>
      <c r="E44" s="42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2.75" customHeight="1">
      <c r="A45" s="39"/>
      <c r="B45" s="40"/>
      <c r="C45" s="40"/>
      <c r="D45" s="68"/>
      <c r="E45" s="42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2.75" customHeight="1">
      <c r="A46" s="39"/>
      <c r="B46" s="40"/>
      <c r="C46" s="40"/>
      <c r="D46" s="68"/>
      <c r="E46" s="42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2.75" customHeight="1">
      <c r="A47" s="39"/>
      <c r="B47" s="40"/>
      <c r="C47" s="40"/>
      <c r="D47" s="68"/>
      <c r="E47" s="4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2.75" customHeight="1">
      <c r="A48" s="39"/>
      <c r="B48" s="40"/>
      <c r="C48" s="40"/>
      <c r="D48" s="68"/>
      <c r="E48" s="42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2.75" customHeight="1">
      <c r="A49" s="39"/>
      <c r="B49" s="40"/>
      <c r="C49" s="40"/>
      <c r="D49" s="68"/>
      <c r="E49" s="42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2.75" customHeight="1">
      <c r="A50" s="39"/>
      <c r="B50" s="40"/>
      <c r="C50" s="40"/>
      <c r="D50" s="68"/>
      <c r="E50" s="42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2.75" customHeight="1">
      <c r="A51" s="39"/>
      <c r="B51" s="40"/>
      <c r="C51" s="40"/>
      <c r="D51" s="68"/>
      <c r="E51" s="42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2.75" customHeight="1">
      <c r="A52" s="39"/>
      <c r="B52" s="40"/>
      <c r="C52" s="40"/>
      <c r="D52" s="68"/>
      <c r="E52" s="42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2.75" customHeight="1">
      <c r="A53" s="39"/>
      <c r="B53" s="40"/>
      <c r="C53" s="40"/>
      <c r="D53" s="68"/>
      <c r="E53" s="42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2.75" customHeight="1">
      <c r="A54" s="39"/>
      <c r="B54" s="40"/>
      <c r="C54" s="40"/>
      <c r="D54" s="68"/>
      <c r="E54" s="42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2.75" customHeight="1">
      <c r="A55" s="39"/>
      <c r="B55" s="40"/>
      <c r="C55" s="40"/>
      <c r="D55" s="68"/>
      <c r="E55" s="42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2.75" customHeight="1">
      <c r="A56" s="70"/>
      <c r="B56" s="40"/>
      <c r="C56" s="40"/>
      <c r="D56" s="68"/>
      <c r="E56" s="42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2.75" customHeight="1">
      <c r="A57" s="39"/>
      <c r="B57" s="40"/>
      <c r="C57" s="40"/>
      <c r="D57" s="68"/>
      <c r="E57" s="42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2.75" customHeight="1">
      <c r="A58" s="39"/>
      <c r="B58" s="40"/>
      <c r="C58" s="40"/>
      <c r="D58" s="68"/>
      <c r="E58" s="42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2.75" customHeight="1">
      <c r="A59" s="39"/>
      <c r="B59" s="40"/>
      <c r="C59" s="40"/>
      <c r="D59" s="68"/>
      <c r="E59" s="42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2.75" customHeight="1">
      <c r="A60" s="39"/>
      <c r="B60" s="40"/>
      <c r="C60" s="40"/>
      <c r="D60" s="68"/>
      <c r="E60" s="42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2.75" customHeight="1">
      <c r="A61" s="39"/>
      <c r="B61" s="40"/>
      <c r="C61" s="40"/>
      <c r="D61" s="68"/>
      <c r="E61" s="42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2.75" customHeight="1">
      <c r="A62" s="39"/>
      <c r="B62" s="40"/>
      <c r="C62" s="40"/>
      <c r="D62" s="68"/>
      <c r="E62" s="42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2.75" customHeight="1">
      <c r="A63" s="39"/>
      <c r="B63" s="40"/>
      <c r="C63" s="40"/>
      <c r="D63" s="68"/>
      <c r="E63" s="42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2.75" customHeight="1">
      <c r="A64" s="39"/>
      <c r="B64" s="40"/>
      <c r="C64" s="40"/>
      <c r="D64" s="68"/>
      <c r="E64" s="42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2.75" customHeight="1">
      <c r="A65" s="39"/>
      <c r="B65" s="40"/>
      <c r="C65" s="40"/>
      <c r="D65" s="68"/>
      <c r="E65" s="42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2.75" customHeight="1">
      <c r="A66" s="39"/>
      <c r="B66" s="40"/>
      <c r="C66" s="40"/>
      <c r="D66" s="68"/>
      <c r="E66" s="42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2.75" customHeight="1">
      <c r="A67" s="39"/>
      <c r="B67" s="40"/>
      <c r="C67" s="40"/>
      <c r="D67" s="68"/>
      <c r="E67" s="42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2.75" customHeight="1">
      <c r="A68" s="39"/>
      <c r="B68" s="40"/>
      <c r="C68" s="40"/>
      <c r="D68" s="68"/>
      <c r="E68" s="42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2.75" customHeight="1">
      <c r="A69" s="39"/>
      <c r="B69" s="40"/>
      <c r="C69" s="40"/>
      <c r="D69" s="68"/>
      <c r="E69" s="42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2.75" customHeight="1">
      <c r="A70" s="39"/>
      <c r="B70" s="40"/>
      <c r="C70" s="40"/>
      <c r="D70" s="68"/>
      <c r="E70" s="42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2.75" customHeight="1">
      <c r="A71" s="39"/>
      <c r="B71" s="40"/>
      <c r="C71" s="40"/>
      <c r="D71" s="68"/>
      <c r="E71" s="42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2.75" customHeight="1">
      <c r="A72" s="39"/>
      <c r="B72" s="40"/>
      <c r="C72" s="40"/>
      <c r="D72" s="68"/>
      <c r="E72" s="42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2.75" customHeight="1">
      <c r="A73" s="39"/>
      <c r="B73" s="40"/>
      <c r="C73" s="40"/>
      <c r="D73" s="68"/>
      <c r="E73" s="42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2.75" customHeight="1">
      <c r="A74" s="39"/>
      <c r="B74" s="40"/>
      <c r="C74" s="40"/>
      <c r="D74" s="68"/>
      <c r="E74" s="42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2.75" customHeight="1">
      <c r="A75" s="39"/>
      <c r="B75" s="40"/>
      <c r="C75" s="40"/>
      <c r="D75" s="68"/>
      <c r="E75" s="42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2.75" customHeight="1">
      <c r="A76" s="39"/>
      <c r="B76" s="40"/>
      <c r="C76" s="40"/>
      <c r="D76" s="68"/>
      <c r="E76" s="42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2.75" customHeight="1">
      <c r="A77" s="39"/>
      <c r="B77" s="40"/>
      <c r="C77" s="40"/>
      <c r="D77" s="68"/>
      <c r="E77" s="42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2.75" customHeight="1">
      <c r="A78" s="39"/>
      <c r="B78" s="40"/>
      <c r="C78" s="40"/>
      <c r="D78" s="68"/>
      <c r="E78" s="42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2.75" customHeight="1">
      <c r="A79" s="39"/>
      <c r="B79" s="40"/>
      <c r="C79" s="40"/>
      <c r="D79" s="68"/>
      <c r="E79" s="42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2.75" customHeight="1">
      <c r="A80" s="39"/>
      <c r="B80" s="40"/>
      <c r="C80" s="40"/>
      <c r="D80" s="68"/>
      <c r="E80" s="42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2.75" customHeight="1">
      <c r="A81" s="39"/>
      <c r="B81" s="40"/>
      <c r="C81" s="40"/>
      <c r="D81" s="68"/>
      <c r="E81" s="42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2.75" customHeight="1">
      <c r="A82" s="39"/>
      <c r="B82" s="40"/>
      <c r="C82" s="40"/>
      <c r="D82" s="68"/>
      <c r="E82" s="42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2.75" customHeight="1">
      <c r="A83" s="39"/>
      <c r="B83" s="40"/>
      <c r="C83" s="40"/>
      <c r="D83" s="68"/>
      <c r="E83" s="42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2.75" customHeight="1">
      <c r="A84" s="39"/>
      <c r="B84" s="40"/>
      <c r="C84" s="40"/>
      <c r="D84" s="68"/>
      <c r="E84" s="42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2.75" customHeight="1">
      <c r="A85" s="39"/>
      <c r="B85" s="40"/>
      <c r="C85" s="40"/>
      <c r="D85" s="68"/>
      <c r="E85" s="42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2.75" customHeight="1">
      <c r="A86" s="39"/>
      <c r="B86" s="40"/>
      <c r="C86" s="40"/>
      <c r="D86" s="68"/>
      <c r="E86" s="42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2.75" customHeight="1">
      <c r="A87" s="39"/>
      <c r="B87" s="40"/>
      <c r="C87" s="40"/>
      <c r="D87" s="68"/>
      <c r="E87" s="42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2.75" customHeight="1">
      <c r="A88" s="39"/>
      <c r="B88" s="40"/>
      <c r="C88" s="40"/>
      <c r="D88" s="68"/>
      <c r="E88" s="42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2.75" customHeight="1">
      <c r="A89" s="39"/>
      <c r="B89" s="40"/>
      <c r="C89" s="40"/>
      <c r="D89" s="68"/>
      <c r="E89" s="42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2.75" customHeight="1">
      <c r="A90" s="39"/>
      <c r="B90" s="40"/>
      <c r="C90" s="40"/>
      <c r="D90" s="68"/>
      <c r="E90" s="42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2.75" customHeight="1">
      <c r="A91" s="39"/>
      <c r="B91" s="40"/>
      <c r="C91" s="40"/>
      <c r="D91" s="68"/>
      <c r="E91" s="42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2.75" customHeight="1">
      <c r="A92" s="39"/>
      <c r="B92" s="40"/>
      <c r="C92" s="40"/>
      <c r="D92" s="68"/>
      <c r="E92" s="42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2.75" customHeight="1">
      <c r="A93" s="39"/>
      <c r="B93" s="40"/>
      <c r="C93" s="40"/>
      <c r="D93" s="68"/>
      <c r="E93" s="42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2.75" customHeight="1">
      <c r="A94" s="39"/>
      <c r="B94" s="40"/>
      <c r="C94" s="40"/>
      <c r="D94" s="68"/>
      <c r="E94" s="42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2.75" customHeight="1">
      <c r="A95" s="39"/>
      <c r="B95" s="40"/>
      <c r="C95" s="40"/>
      <c r="D95" s="68"/>
      <c r="E95" s="42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2.75" customHeight="1">
      <c r="A96" s="39"/>
      <c r="B96" s="40"/>
      <c r="C96" s="40"/>
      <c r="D96" s="68"/>
      <c r="E96" s="42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2.75" customHeight="1">
      <c r="A97" s="39"/>
      <c r="B97" s="40"/>
      <c r="C97" s="40"/>
      <c r="D97" s="68"/>
      <c r="E97" s="42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2.75" customHeight="1">
      <c r="A98" s="39"/>
      <c r="B98" s="40"/>
      <c r="C98" s="40"/>
      <c r="D98" s="68"/>
      <c r="E98" s="42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2.75" customHeight="1">
      <c r="A99" s="39"/>
      <c r="B99" s="40"/>
      <c r="C99" s="40"/>
      <c r="D99" s="68"/>
      <c r="E99" s="42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2.75" customHeight="1">
      <c r="A100" s="39"/>
      <c r="B100" s="40"/>
      <c r="C100" s="40"/>
      <c r="D100" s="68"/>
      <c r="E100" s="42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2.75" customHeight="1">
      <c r="A101" s="39"/>
      <c r="B101" s="40"/>
      <c r="C101" s="40"/>
      <c r="D101" s="68"/>
      <c r="E101" s="42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2.75" customHeight="1">
      <c r="A102" s="39"/>
      <c r="B102" s="40"/>
      <c r="C102" s="40"/>
      <c r="D102" s="68"/>
      <c r="E102" s="42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2.75" customHeight="1">
      <c r="A103" s="39"/>
      <c r="B103" s="40"/>
      <c r="C103" s="40"/>
      <c r="D103" s="68"/>
      <c r="E103" s="42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2.75" customHeight="1">
      <c r="A104" s="39"/>
      <c r="B104" s="40"/>
      <c r="C104" s="40"/>
      <c r="D104" s="68"/>
      <c r="E104" s="42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2.75" customHeight="1">
      <c r="A105" s="39"/>
      <c r="B105" s="40"/>
      <c r="C105" s="40"/>
      <c r="D105" s="68"/>
      <c r="E105" s="42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2.75" customHeight="1">
      <c r="A106" s="39"/>
      <c r="B106" s="40"/>
      <c r="C106" s="40"/>
      <c r="D106" s="68"/>
      <c r="E106" s="42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2.75" customHeight="1">
      <c r="A107" s="39"/>
      <c r="B107" s="40"/>
      <c r="C107" s="40"/>
      <c r="D107" s="68"/>
      <c r="E107" s="42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2.75" customHeight="1">
      <c r="A108" s="39"/>
      <c r="B108" s="40"/>
      <c r="C108" s="40"/>
      <c r="D108" s="68"/>
      <c r="E108" s="42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2.75" customHeight="1">
      <c r="A109" s="39"/>
      <c r="B109" s="40"/>
      <c r="C109" s="40"/>
      <c r="D109" s="68"/>
      <c r="E109" s="42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2.75" customHeight="1">
      <c r="A110" s="39"/>
      <c r="B110" s="40"/>
      <c r="C110" s="40"/>
      <c r="D110" s="68"/>
      <c r="E110" s="42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2.75" customHeight="1">
      <c r="A111" s="39"/>
      <c r="B111" s="40"/>
      <c r="C111" s="40"/>
      <c r="D111" s="68"/>
      <c r="E111" s="42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2.75" customHeight="1">
      <c r="A112" s="39"/>
      <c r="B112" s="40"/>
      <c r="C112" s="40"/>
      <c r="D112" s="68"/>
      <c r="E112" s="42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2.75" customHeight="1">
      <c r="A113" s="39"/>
      <c r="B113" s="40"/>
      <c r="C113" s="40"/>
      <c r="D113" s="68"/>
      <c r="E113" s="42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2.75" customHeight="1">
      <c r="A114" s="39"/>
      <c r="B114" s="40"/>
      <c r="C114" s="40"/>
      <c r="D114" s="68"/>
      <c r="E114" s="42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2.75" customHeight="1">
      <c r="A115" s="39"/>
      <c r="B115" s="40"/>
      <c r="C115" s="40"/>
      <c r="D115" s="68"/>
      <c r="E115" s="42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2.75" customHeight="1">
      <c r="A116" s="39"/>
      <c r="B116" s="40"/>
      <c r="C116" s="40"/>
      <c r="D116" s="68"/>
      <c r="E116" s="42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2.75" customHeight="1">
      <c r="A117" s="39"/>
      <c r="B117" s="40"/>
      <c r="C117" s="40"/>
      <c r="D117" s="68"/>
      <c r="E117" s="42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2.75" customHeight="1">
      <c r="A118" s="39"/>
      <c r="B118" s="40"/>
      <c r="C118" s="40"/>
      <c r="D118" s="68"/>
      <c r="E118" s="42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2.75" customHeight="1">
      <c r="A119" s="39"/>
      <c r="B119" s="40"/>
      <c r="C119" s="40"/>
      <c r="D119" s="68"/>
      <c r="E119" s="42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2.75" customHeight="1">
      <c r="A120" s="39"/>
      <c r="B120" s="40"/>
      <c r="C120" s="40"/>
      <c r="D120" s="68"/>
      <c r="E120" s="42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2.75" customHeight="1">
      <c r="A121" s="39"/>
      <c r="B121" s="40"/>
      <c r="C121" s="40"/>
      <c r="D121" s="68"/>
      <c r="E121" s="42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2.75" customHeight="1">
      <c r="A122" s="39"/>
      <c r="B122" s="40"/>
      <c r="C122" s="40"/>
      <c r="D122" s="68"/>
      <c r="E122" s="42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2.75" customHeight="1">
      <c r="A123" s="39"/>
      <c r="B123" s="40"/>
      <c r="C123" s="40"/>
      <c r="D123" s="68"/>
      <c r="E123" s="42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2.75" customHeight="1">
      <c r="A124" s="39"/>
      <c r="B124" s="40"/>
      <c r="C124" s="40"/>
      <c r="D124" s="68"/>
      <c r="E124" s="42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2.75" customHeight="1">
      <c r="A125" s="39"/>
      <c r="B125" s="40"/>
      <c r="C125" s="40"/>
      <c r="D125" s="68"/>
      <c r="E125" s="42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2.75" customHeight="1">
      <c r="A126" s="39"/>
      <c r="B126" s="40"/>
      <c r="C126" s="40"/>
      <c r="D126" s="68"/>
      <c r="E126" s="42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2.75" customHeight="1">
      <c r="A127" s="39"/>
      <c r="B127" s="40"/>
      <c r="C127" s="40"/>
      <c r="D127" s="68"/>
      <c r="E127" s="42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2.75" customHeight="1">
      <c r="A128" s="39"/>
      <c r="B128" s="40"/>
      <c r="C128" s="40"/>
      <c r="D128" s="68"/>
      <c r="E128" s="42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2.75" customHeight="1">
      <c r="A129" s="39"/>
      <c r="B129" s="40"/>
      <c r="C129" s="40"/>
      <c r="D129" s="68"/>
      <c r="E129" s="42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2.75" customHeight="1">
      <c r="A130" s="39"/>
      <c r="B130" s="40"/>
      <c r="C130" s="40"/>
      <c r="D130" s="68"/>
      <c r="E130" s="42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2.75" customHeight="1">
      <c r="A131" s="39"/>
      <c r="B131" s="40"/>
      <c r="C131" s="40"/>
      <c r="D131" s="68"/>
      <c r="E131" s="42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2.75" customHeight="1">
      <c r="A132" s="39"/>
      <c r="B132" s="40"/>
      <c r="C132" s="40"/>
      <c r="D132" s="68"/>
      <c r="E132" s="42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2.75" customHeight="1">
      <c r="A133" s="39"/>
      <c r="B133" s="40"/>
      <c r="C133" s="40"/>
      <c r="D133" s="68"/>
      <c r="E133" s="42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2.75" customHeight="1">
      <c r="A134" s="39"/>
      <c r="B134" s="40"/>
      <c r="C134" s="40"/>
      <c r="D134" s="68"/>
      <c r="E134" s="42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2.75" customHeight="1">
      <c r="A135" s="39"/>
      <c r="B135" s="40"/>
      <c r="C135" s="40"/>
      <c r="D135" s="68"/>
      <c r="E135" s="42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2.75" customHeight="1">
      <c r="A136" s="39"/>
      <c r="B136" s="40"/>
      <c r="C136" s="40"/>
      <c r="D136" s="68"/>
      <c r="E136" s="42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2.75" customHeight="1">
      <c r="A137" s="39"/>
      <c r="B137" s="40"/>
      <c r="C137" s="40"/>
      <c r="D137" s="68"/>
      <c r="E137" s="42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2.75" customHeight="1">
      <c r="A138" s="39"/>
      <c r="B138" s="40"/>
      <c r="C138" s="40"/>
      <c r="D138" s="68"/>
      <c r="E138" s="42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2.75" customHeight="1">
      <c r="A139" s="39"/>
      <c r="B139" s="40"/>
      <c r="C139" s="40"/>
      <c r="D139" s="68"/>
      <c r="E139" s="42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2.75" customHeight="1">
      <c r="A140" s="39"/>
      <c r="B140" s="40"/>
      <c r="C140" s="40"/>
      <c r="D140" s="68"/>
      <c r="E140" s="42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2.75" customHeight="1">
      <c r="A141" s="39"/>
      <c r="B141" s="40"/>
      <c r="C141" s="40"/>
      <c r="D141" s="68"/>
      <c r="E141" s="42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2.75" customHeight="1">
      <c r="A142" s="39"/>
      <c r="B142" s="40"/>
      <c r="C142" s="40"/>
      <c r="D142" s="68"/>
      <c r="E142" s="42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2.75" customHeight="1">
      <c r="A143" s="39"/>
      <c r="B143" s="40"/>
      <c r="C143" s="40"/>
      <c r="D143" s="68"/>
      <c r="E143" s="42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2.75" customHeight="1">
      <c r="A144" s="39"/>
      <c r="B144" s="40"/>
      <c r="C144" s="40"/>
      <c r="D144" s="68"/>
      <c r="E144" s="42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2.75" customHeight="1">
      <c r="A145" s="39"/>
      <c r="B145" s="40"/>
      <c r="C145" s="40"/>
      <c r="D145" s="68"/>
      <c r="E145" s="42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2.75" customHeight="1">
      <c r="A146" s="39"/>
      <c r="B146" s="40"/>
      <c r="C146" s="40"/>
      <c r="D146" s="68"/>
      <c r="E146" s="42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2.75" customHeight="1">
      <c r="A147" s="39"/>
      <c r="B147" s="40"/>
      <c r="C147" s="40"/>
      <c r="D147" s="68"/>
      <c r="E147" s="42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2.75" customHeight="1">
      <c r="A148" s="39"/>
      <c r="B148" s="40"/>
      <c r="C148" s="40"/>
      <c r="D148" s="68"/>
      <c r="E148" s="42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2.75" customHeight="1">
      <c r="A149" s="39"/>
      <c r="B149" s="40"/>
      <c r="C149" s="40"/>
      <c r="D149" s="68"/>
      <c r="E149" s="42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2.75" customHeight="1">
      <c r="A150" s="39"/>
      <c r="B150" s="40"/>
      <c r="C150" s="40"/>
      <c r="D150" s="68"/>
      <c r="E150" s="42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2.75" customHeight="1">
      <c r="A151" s="39"/>
      <c r="B151" s="40"/>
      <c r="C151" s="40"/>
      <c r="D151" s="68"/>
      <c r="E151" s="42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2.75" customHeight="1">
      <c r="A152" s="39"/>
      <c r="B152" s="40"/>
      <c r="C152" s="40"/>
      <c r="D152" s="68"/>
      <c r="E152" s="42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2.75" customHeight="1">
      <c r="A153" s="39"/>
      <c r="B153" s="40"/>
      <c r="C153" s="40"/>
      <c r="D153" s="68"/>
      <c r="E153" s="42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2.75" customHeight="1">
      <c r="A154" s="39"/>
      <c r="B154" s="40"/>
      <c r="C154" s="40"/>
      <c r="D154" s="68"/>
      <c r="E154" s="42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2.75" customHeight="1">
      <c r="A155" s="39"/>
      <c r="B155" s="40"/>
      <c r="C155" s="40"/>
      <c r="D155" s="68"/>
      <c r="E155" s="42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2.75" customHeight="1">
      <c r="A156" s="39"/>
      <c r="B156" s="40"/>
      <c r="C156" s="40"/>
      <c r="D156" s="68"/>
      <c r="E156" s="42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2.75" customHeight="1">
      <c r="A157" s="39"/>
      <c r="B157" s="40"/>
      <c r="C157" s="40"/>
      <c r="D157" s="68"/>
      <c r="E157" s="42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2.75" customHeight="1">
      <c r="A158" s="39"/>
      <c r="B158" s="40"/>
      <c r="C158" s="40"/>
      <c r="D158" s="68"/>
      <c r="E158" s="42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2.75" customHeight="1">
      <c r="A159" s="39"/>
      <c r="B159" s="40"/>
      <c r="C159" s="40"/>
      <c r="D159" s="68"/>
      <c r="E159" s="42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2.75" customHeight="1">
      <c r="A160" s="39"/>
      <c r="B160" s="40"/>
      <c r="C160" s="40"/>
      <c r="D160" s="68"/>
      <c r="E160" s="42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2.75" customHeight="1">
      <c r="A161" s="39"/>
      <c r="B161" s="40"/>
      <c r="C161" s="40"/>
      <c r="D161" s="68"/>
      <c r="E161" s="42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2.75" customHeight="1">
      <c r="A162" s="39"/>
      <c r="B162" s="40"/>
      <c r="C162" s="40"/>
      <c r="D162" s="68"/>
      <c r="E162" s="42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2.75" customHeight="1">
      <c r="A163" s="39"/>
      <c r="B163" s="40"/>
      <c r="C163" s="40"/>
      <c r="D163" s="68"/>
      <c r="E163" s="42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2.75" customHeight="1">
      <c r="A164" s="39"/>
      <c r="B164" s="40"/>
      <c r="C164" s="40"/>
      <c r="D164" s="68"/>
      <c r="E164" s="42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2.75" customHeight="1">
      <c r="A165" s="39"/>
      <c r="B165" s="40"/>
      <c r="C165" s="40"/>
      <c r="D165" s="68"/>
      <c r="E165" s="42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2.75" customHeight="1">
      <c r="A166" s="39"/>
      <c r="B166" s="40"/>
      <c r="C166" s="40"/>
      <c r="D166" s="68"/>
      <c r="E166" s="42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2.75" customHeight="1">
      <c r="A167" s="39"/>
      <c r="B167" s="40"/>
      <c r="C167" s="40"/>
      <c r="D167" s="68"/>
      <c r="E167" s="42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2.75" customHeight="1">
      <c r="A168" s="39"/>
      <c r="B168" s="40"/>
      <c r="C168" s="40"/>
      <c r="D168" s="68"/>
      <c r="E168" s="42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2.75" customHeight="1">
      <c r="A169" s="39"/>
      <c r="B169" s="40"/>
      <c r="C169" s="40"/>
      <c r="D169" s="68"/>
      <c r="E169" s="42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2.75" customHeight="1">
      <c r="A170" s="39"/>
      <c r="B170" s="40"/>
      <c r="C170" s="40"/>
      <c r="D170" s="68"/>
      <c r="E170" s="42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2.75" customHeight="1">
      <c r="A171" s="39"/>
      <c r="B171" s="40"/>
      <c r="C171" s="40"/>
      <c r="D171" s="68"/>
      <c r="E171" s="42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2.75" customHeight="1">
      <c r="A172" s="39"/>
      <c r="B172" s="40"/>
      <c r="C172" s="40"/>
      <c r="D172" s="68"/>
      <c r="E172" s="42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2.75" customHeight="1">
      <c r="A173" s="39"/>
      <c r="B173" s="40"/>
      <c r="C173" s="40"/>
      <c r="D173" s="68"/>
      <c r="E173" s="42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2.75" customHeight="1">
      <c r="A174" s="39"/>
      <c r="B174" s="40"/>
      <c r="C174" s="40"/>
      <c r="D174" s="68"/>
      <c r="E174" s="42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2.75" customHeight="1">
      <c r="A175" s="39"/>
      <c r="B175" s="40"/>
      <c r="C175" s="40"/>
      <c r="D175" s="68"/>
      <c r="E175" s="42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2.75" customHeight="1">
      <c r="A176" s="39"/>
      <c r="B176" s="40"/>
      <c r="C176" s="40"/>
      <c r="D176" s="68"/>
      <c r="E176" s="42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2.75" customHeight="1">
      <c r="A177" s="39"/>
      <c r="B177" s="40"/>
      <c r="C177" s="40"/>
      <c r="D177" s="68"/>
      <c r="E177" s="42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2.75" customHeight="1">
      <c r="A178" s="39"/>
      <c r="B178" s="40"/>
      <c r="C178" s="40"/>
      <c r="D178" s="68"/>
      <c r="E178" s="42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2.75" customHeight="1">
      <c r="A179" s="39"/>
      <c r="B179" s="40"/>
      <c r="C179" s="40"/>
      <c r="D179" s="68"/>
      <c r="E179" s="42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2.75" customHeight="1">
      <c r="A180" s="39"/>
      <c r="B180" s="40"/>
      <c r="C180" s="40"/>
      <c r="D180" s="68"/>
      <c r="E180" s="42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2.75" customHeight="1">
      <c r="A181" s="39"/>
      <c r="B181" s="40"/>
      <c r="C181" s="40"/>
      <c r="D181" s="68"/>
      <c r="E181" s="42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2.75" customHeight="1">
      <c r="A182" s="39"/>
      <c r="B182" s="40"/>
      <c r="C182" s="40"/>
      <c r="D182" s="68"/>
      <c r="E182" s="42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2.75" customHeight="1">
      <c r="A183" s="39"/>
      <c r="B183" s="40"/>
      <c r="C183" s="40"/>
      <c r="D183" s="68"/>
      <c r="E183" s="42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2.75" customHeight="1">
      <c r="A184" s="39"/>
      <c r="B184" s="40"/>
      <c r="C184" s="40"/>
      <c r="D184" s="68"/>
      <c r="E184" s="42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2.75" customHeight="1">
      <c r="A185" s="39"/>
      <c r="B185" s="40"/>
      <c r="C185" s="40"/>
      <c r="D185" s="68"/>
      <c r="E185" s="42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2.75" customHeight="1">
      <c r="A186" s="39"/>
      <c r="B186" s="40"/>
      <c r="C186" s="40"/>
      <c r="D186" s="68"/>
      <c r="E186" s="42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2.75" customHeight="1">
      <c r="A187" s="39"/>
      <c r="B187" s="40"/>
      <c r="C187" s="40"/>
      <c r="D187" s="68"/>
      <c r="E187" s="42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2.75" customHeight="1">
      <c r="A188" s="39"/>
      <c r="B188" s="40"/>
      <c r="C188" s="40"/>
      <c r="D188" s="68"/>
      <c r="E188" s="42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2.75" customHeight="1">
      <c r="A189" s="39"/>
      <c r="B189" s="40"/>
      <c r="C189" s="40"/>
      <c r="D189" s="68"/>
      <c r="E189" s="42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2.75" customHeight="1">
      <c r="A190" s="39"/>
      <c r="B190" s="40"/>
      <c r="C190" s="40"/>
      <c r="D190" s="68"/>
      <c r="E190" s="42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2.75" customHeight="1">
      <c r="A191" s="39"/>
      <c r="B191" s="40"/>
      <c r="C191" s="40"/>
      <c r="D191" s="68"/>
      <c r="E191" s="42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2.75" customHeight="1">
      <c r="A192" s="39"/>
      <c r="B192" s="40"/>
      <c r="C192" s="40"/>
      <c r="D192" s="68"/>
      <c r="E192" s="42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2.75" customHeight="1">
      <c r="A193" s="39"/>
      <c r="B193" s="40"/>
      <c r="C193" s="40"/>
      <c r="D193" s="68"/>
      <c r="E193" s="42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2.75" customHeight="1">
      <c r="A194" s="39"/>
      <c r="B194" s="40"/>
      <c r="C194" s="40"/>
      <c r="D194" s="68"/>
      <c r="E194" s="42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2.75" customHeight="1">
      <c r="A195" s="39"/>
      <c r="B195" s="40"/>
      <c r="C195" s="40"/>
      <c r="D195" s="68"/>
      <c r="E195" s="42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2.75" customHeight="1">
      <c r="A196" s="39"/>
      <c r="B196" s="40"/>
      <c r="C196" s="40"/>
      <c r="D196" s="68"/>
      <c r="E196" s="42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2.75" customHeight="1">
      <c r="A197" s="39"/>
      <c r="B197" s="40"/>
      <c r="C197" s="40"/>
      <c r="D197" s="68"/>
      <c r="E197" s="42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2.75" customHeight="1">
      <c r="A198" s="39"/>
      <c r="B198" s="40"/>
      <c r="C198" s="40"/>
      <c r="D198" s="68"/>
      <c r="E198" s="42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2.75" customHeight="1">
      <c r="A199" s="39"/>
      <c r="B199" s="40"/>
      <c r="C199" s="40"/>
      <c r="D199" s="68"/>
      <c r="E199" s="42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2.75" customHeight="1">
      <c r="A200" s="39"/>
      <c r="B200" s="40"/>
      <c r="C200" s="40"/>
      <c r="D200" s="68"/>
      <c r="E200" s="42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2.75" customHeight="1">
      <c r="A201" s="39"/>
      <c r="B201" s="40"/>
      <c r="C201" s="40"/>
      <c r="D201" s="68"/>
      <c r="E201" s="42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2.75" customHeight="1">
      <c r="A202" s="39"/>
      <c r="B202" s="40"/>
      <c r="C202" s="40"/>
      <c r="D202" s="68"/>
      <c r="E202" s="42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2.75" customHeight="1">
      <c r="A203" s="39"/>
      <c r="B203" s="40"/>
      <c r="C203" s="40"/>
      <c r="D203" s="68"/>
      <c r="E203" s="42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2.75" customHeight="1">
      <c r="A204" s="39"/>
      <c r="B204" s="40"/>
      <c r="C204" s="40"/>
      <c r="D204" s="68"/>
      <c r="E204" s="42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2.75" customHeight="1">
      <c r="A205" s="39"/>
      <c r="B205" s="40"/>
      <c r="C205" s="40"/>
      <c r="D205" s="68"/>
      <c r="E205" s="42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2.75" customHeight="1">
      <c r="A206" s="39"/>
      <c r="B206" s="40"/>
      <c r="C206" s="40"/>
      <c r="D206" s="68"/>
      <c r="E206" s="42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2.75" customHeight="1">
      <c r="A207" s="39"/>
      <c r="B207" s="40"/>
      <c r="C207" s="40"/>
      <c r="D207" s="68"/>
      <c r="E207" s="42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2.75" customHeight="1">
      <c r="A208" s="39"/>
      <c r="B208" s="40"/>
      <c r="C208" s="40"/>
      <c r="D208" s="68"/>
      <c r="E208" s="42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2.75" customHeight="1">
      <c r="A209" s="39"/>
      <c r="B209" s="40"/>
      <c r="C209" s="40"/>
      <c r="D209" s="68"/>
      <c r="E209" s="42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2.75" customHeight="1">
      <c r="A210" s="39"/>
      <c r="B210" s="40"/>
      <c r="C210" s="40"/>
      <c r="D210" s="68"/>
      <c r="E210" s="42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2.75" customHeight="1">
      <c r="A211" s="39"/>
      <c r="B211" s="40"/>
      <c r="C211" s="40"/>
      <c r="D211" s="68"/>
      <c r="E211" s="42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2.75" customHeight="1">
      <c r="A212" s="39"/>
      <c r="B212" s="40"/>
      <c r="C212" s="40"/>
      <c r="D212" s="68"/>
      <c r="E212" s="42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2.75" customHeight="1">
      <c r="A213" s="39"/>
      <c r="B213" s="40"/>
      <c r="C213" s="40"/>
      <c r="D213" s="68"/>
      <c r="E213" s="42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2.75" customHeight="1">
      <c r="A214" s="39"/>
      <c r="B214" s="40"/>
      <c r="C214" s="40"/>
      <c r="D214" s="68"/>
      <c r="E214" s="42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2.75" customHeight="1">
      <c r="A215" s="39"/>
      <c r="B215" s="40"/>
      <c r="C215" s="40"/>
      <c r="D215" s="68"/>
      <c r="E215" s="42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2.75" customHeight="1">
      <c r="A216" s="39"/>
      <c r="B216" s="40"/>
      <c r="C216" s="40"/>
      <c r="D216" s="68"/>
      <c r="E216" s="42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2.75" customHeight="1">
      <c r="A217" s="39"/>
      <c r="B217" s="40"/>
      <c r="C217" s="40"/>
      <c r="D217" s="68"/>
      <c r="E217" s="42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2.75" customHeight="1">
      <c r="A218" s="39"/>
      <c r="B218" s="40"/>
      <c r="C218" s="40"/>
      <c r="D218" s="68"/>
      <c r="E218" s="42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2.75" customHeight="1">
      <c r="A219" s="39"/>
      <c r="B219" s="40"/>
      <c r="C219" s="40"/>
      <c r="D219" s="68"/>
      <c r="E219" s="42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2.75" customHeight="1">
      <c r="A220" s="71"/>
      <c r="B220" s="64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2.75" customHeight="1">
      <c r="A221" s="71"/>
      <c r="B221" s="64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2.75" customHeight="1">
      <c r="A222" s="71"/>
      <c r="B222" s="64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2.75" customHeight="1">
      <c r="A223" s="71"/>
      <c r="B223" s="64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2.75" customHeight="1">
      <c r="A224" s="71"/>
      <c r="B224" s="64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2.75" customHeight="1">
      <c r="A225" s="71"/>
      <c r="B225" s="64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2.75" customHeight="1">
      <c r="A226" s="71"/>
      <c r="B226" s="64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2.75" customHeight="1">
      <c r="A227" s="71"/>
      <c r="B227" s="64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2.75" customHeight="1">
      <c r="A228" s="71"/>
      <c r="B228" s="64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2.75" customHeight="1">
      <c r="A229" s="71"/>
      <c r="B229" s="64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2.75" customHeight="1">
      <c r="A230" s="71"/>
      <c r="B230" s="64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2.75" customHeight="1">
      <c r="A231" s="71"/>
      <c r="B231" s="64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2.75" customHeight="1">
      <c r="A232" s="71"/>
      <c r="B232" s="64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2.75" customHeight="1">
      <c r="A233" s="71"/>
      <c r="B233" s="64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2.75" customHeight="1">
      <c r="A234" s="71"/>
      <c r="B234" s="64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2.75" customHeight="1">
      <c r="A235" s="71"/>
      <c r="B235" s="64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2.75" customHeight="1">
      <c r="A236" s="71"/>
      <c r="B236" s="6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2.75" customHeight="1">
      <c r="A237" s="71"/>
      <c r="B237" s="64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2.75" customHeight="1">
      <c r="A238" s="71"/>
      <c r="B238" s="64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2.75" customHeight="1">
      <c r="A239" s="71"/>
      <c r="B239" s="64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2.75" customHeight="1">
      <c r="A240" s="71"/>
      <c r="B240" s="64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2.75" customHeight="1">
      <c r="A241" s="71"/>
      <c r="B241" s="64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2.75" customHeight="1">
      <c r="A242" s="71"/>
      <c r="B242" s="64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2.75" customHeight="1">
      <c r="A243" s="71"/>
      <c r="B243" s="64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2.75" customHeight="1">
      <c r="A244" s="71"/>
      <c r="B244" s="64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2.75" customHeight="1">
      <c r="A245" s="71"/>
      <c r="B245" s="64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2.75" customHeight="1">
      <c r="A246" s="71"/>
      <c r="B246" s="64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2.75" customHeight="1">
      <c r="A247" s="71"/>
      <c r="B247" s="64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2.75" customHeight="1">
      <c r="A248" s="71"/>
      <c r="B248" s="64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2.75" customHeight="1">
      <c r="A249" s="71"/>
      <c r="B249" s="64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2.75" customHeight="1">
      <c r="A250" s="71"/>
      <c r="B250" s="64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2.75" customHeight="1">
      <c r="A251" s="71"/>
      <c r="B251" s="64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2.75" customHeight="1">
      <c r="A252" s="71"/>
      <c r="B252" s="64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2.75" customHeight="1">
      <c r="A253" s="71"/>
      <c r="B253" s="64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2.75" customHeight="1">
      <c r="A254" s="71"/>
      <c r="B254" s="64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2.75" customHeight="1">
      <c r="A255" s="71"/>
      <c r="B255" s="64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2.75" customHeight="1">
      <c r="A256" s="71"/>
      <c r="B256" s="64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2.75" customHeight="1">
      <c r="A257" s="71"/>
      <c r="B257" s="64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2.75" customHeight="1">
      <c r="A258" s="71"/>
      <c r="B258" s="64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2.75" customHeight="1">
      <c r="A259" s="71"/>
      <c r="B259" s="64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2.75" customHeight="1">
      <c r="A260" s="71"/>
      <c r="B260" s="64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2.75" customHeight="1">
      <c r="A261" s="71"/>
      <c r="B261" s="64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2.75" customHeight="1">
      <c r="A262" s="71"/>
      <c r="B262" s="64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2.75" customHeight="1">
      <c r="A263" s="71"/>
      <c r="B263" s="64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2.75" customHeight="1">
      <c r="A264" s="71"/>
      <c r="B264" s="64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2.75" customHeight="1">
      <c r="A265" s="71"/>
      <c r="B265" s="64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2.75" customHeight="1">
      <c r="A266" s="71"/>
      <c r="B266" s="64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2.75" customHeight="1">
      <c r="A267" s="71"/>
      <c r="B267" s="64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2.75" customHeight="1">
      <c r="A268" s="71"/>
      <c r="B268" s="64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2.75" customHeight="1">
      <c r="A269" s="71"/>
      <c r="B269" s="64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2.75" customHeight="1">
      <c r="A270" s="71"/>
      <c r="B270" s="64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2.75" customHeight="1">
      <c r="A271" s="71"/>
      <c r="B271" s="64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2.75" customHeight="1">
      <c r="A272" s="71"/>
      <c r="B272" s="64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2.75" customHeight="1">
      <c r="A273" s="71"/>
      <c r="B273" s="64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2.75" customHeight="1">
      <c r="A274" s="71"/>
      <c r="B274" s="64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2.75" customHeight="1">
      <c r="A275" s="71"/>
      <c r="B275" s="64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2.75" customHeight="1">
      <c r="A276" s="71"/>
      <c r="B276" s="64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2.75" customHeight="1">
      <c r="A277" s="71"/>
      <c r="B277" s="64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2.75" customHeight="1">
      <c r="A278" s="71"/>
      <c r="B278" s="64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2.75" customHeight="1">
      <c r="A279" s="71"/>
      <c r="B279" s="64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2.75" customHeight="1">
      <c r="A280" s="71"/>
      <c r="B280" s="64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2.75" customHeight="1">
      <c r="A281" s="71"/>
      <c r="B281" s="64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2.75" customHeight="1">
      <c r="A282" s="71"/>
      <c r="B282" s="64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2.75" customHeight="1">
      <c r="A283" s="71"/>
      <c r="B283" s="64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2.75" customHeight="1">
      <c r="A284" s="71"/>
      <c r="B284" s="64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2.75" customHeight="1">
      <c r="A285" s="71"/>
      <c r="B285" s="64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2.75" customHeight="1">
      <c r="A286" s="71"/>
      <c r="B286" s="64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2.75" customHeight="1">
      <c r="A287" s="71"/>
      <c r="B287" s="64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2.75" customHeight="1">
      <c r="A288" s="71"/>
      <c r="B288" s="64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2.75" customHeight="1">
      <c r="A289" s="71"/>
      <c r="B289" s="64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2.75" customHeight="1">
      <c r="A290" s="71"/>
      <c r="B290" s="64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2.75" customHeight="1">
      <c r="A291" s="71"/>
      <c r="B291" s="64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2.75" customHeight="1">
      <c r="A292" s="71"/>
      <c r="B292" s="64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2.75" customHeight="1">
      <c r="A293" s="71"/>
      <c r="B293" s="64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2.75" customHeight="1">
      <c r="A294" s="71"/>
      <c r="B294" s="64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2.75" customHeight="1">
      <c r="A295" s="71"/>
      <c r="B295" s="64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2.75" customHeight="1">
      <c r="A296" s="71"/>
      <c r="B296" s="64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2.75" customHeight="1">
      <c r="A297" s="71"/>
      <c r="B297" s="64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2.75" customHeight="1">
      <c r="A298" s="71"/>
      <c r="B298" s="64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2.75" customHeight="1">
      <c r="A299" s="71"/>
      <c r="B299" s="64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2.75" customHeight="1">
      <c r="A300" s="71"/>
      <c r="B300" s="64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2.75" customHeight="1">
      <c r="A301" s="71"/>
      <c r="B301" s="64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2.75" customHeight="1">
      <c r="A302" s="71"/>
      <c r="B302" s="64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2.75" customHeight="1">
      <c r="A303" s="71"/>
      <c r="B303" s="64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2.75" customHeight="1">
      <c r="A304" s="71"/>
      <c r="B304" s="64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2.75" customHeight="1">
      <c r="A305" s="71"/>
      <c r="B305" s="64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2.75" customHeight="1">
      <c r="A306" s="71"/>
      <c r="B306" s="64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2.75" customHeight="1">
      <c r="A307" s="71"/>
      <c r="B307" s="64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2.75" customHeight="1">
      <c r="A308" s="71"/>
      <c r="B308" s="64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2.75" customHeight="1">
      <c r="A309" s="71"/>
      <c r="B309" s="64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2.75" customHeight="1">
      <c r="A310" s="71"/>
      <c r="B310" s="64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2.75" customHeight="1">
      <c r="A311" s="71"/>
      <c r="B311" s="64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2.75" customHeight="1">
      <c r="A312" s="71"/>
      <c r="B312" s="64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2.75" customHeight="1">
      <c r="A313" s="71"/>
      <c r="B313" s="64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2.75" customHeight="1">
      <c r="A314" s="71"/>
      <c r="B314" s="64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2.75" customHeight="1">
      <c r="A315" s="71"/>
      <c r="B315" s="64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2.75" customHeight="1">
      <c r="A316" s="71"/>
      <c r="B316" s="64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2.75" customHeight="1">
      <c r="A317" s="71"/>
      <c r="B317" s="64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2.75" customHeight="1">
      <c r="A318" s="71"/>
      <c r="B318" s="64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2.75" customHeight="1">
      <c r="A319" s="71"/>
      <c r="B319" s="64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2.75" customHeight="1">
      <c r="A320" s="71"/>
      <c r="B320" s="64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2.75" customHeight="1">
      <c r="A321" s="71"/>
      <c r="B321" s="64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2.75" customHeight="1">
      <c r="A322" s="71"/>
      <c r="B322" s="64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2.75" customHeight="1">
      <c r="A323" s="71"/>
      <c r="B323" s="64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2.75" customHeight="1">
      <c r="A324" s="71"/>
      <c r="B324" s="64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2.75" customHeight="1">
      <c r="A325" s="71"/>
      <c r="B325" s="64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2.75" customHeight="1">
      <c r="A326" s="71"/>
      <c r="B326" s="64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2.75" customHeight="1">
      <c r="A327" s="71"/>
      <c r="B327" s="64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2.75" customHeight="1">
      <c r="A328" s="71"/>
      <c r="B328" s="64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2.75" customHeight="1">
      <c r="A329" s="71"/>
      <c r="B329" s="64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2.75" customHeight="1">
      <c r="A330" s="71"/>
      <c r="B330" s="64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2.75" customHeight="1">
      <c r="A331" s="71"/>
      <c r="B331" s="64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2.75" customHeight="1">
      <c r="A332" s="71"/>
      <c r="B332" s="64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2.75" customHeight="1">
      <c r="A333" s="71"/>
      <c r="B333" s="64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2.75" customHeight="1">
      <c r="A334" s="71"/>
      <c r="B334" s="64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2.75" customHeight="1">
      <c r="A335" s="71"/>
      <c r="B335" s="64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2.75" customHeight="1">
      <c r="A336" s="71"/>
      <c r="B336" s="64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2.75" customHeight="1">
      <c r="A337" s="71"/>
      <c r="B337" s="64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2.75" customHeight="1">
      <c r="A338" s="71"/>
      <c r="B338" s="64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2.75" customHeight="1">
      <c r="A339" s="71"/>
      <c r="B339" s="64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2.75" customHeight="1">
      <c r="A340" s="71"/>
      <c r="B340" s="64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2.75" customHeight="1">
      <c r="A341" s="71"/>
      <c r="B341" s="64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2.75" customHeight="1">
      <c r="A342" s="71"/>
      <c r="B342" s="64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2.75" customHeight="1">
      <c r="A343" s="71"/>
      <c r="B343" s="64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2.75" customHeight="1">
      <c r="A344" s="71"/>
      <c r="B344" s="64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2.75" customHeight="1">
      <c r="A345" s="71"/>
      <c r="B345" s="64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2.75" customHeight="1">
      <c r="A346" s="71"/>
      <c r="B346" s="64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2.75" customHeight="1">
      <c r="A347" s="71"/>
      <c r="B347" s="64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2.75" customHeight="1">
      <c r="A348" s="71"/>
      <c r="B348" s="64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2.75" customHeight="1">
      <c r="A349" s="71"/>
      <c r="B349" s="64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2.75" customHeight="1">
      <c r="A350" s="71"/>
      <c r="B350" s="64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2.75" customHeight="1">
      <c r="A351" s="71"/>
      <c r="B351" s="64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2.75" customHeight="1">
      <c r="A352" s="71"/>
      <c r="B352" s="64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2.75" customHeight="1">
      <c r="A353" s="71"/>
      <c r="B353" s="64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2.75" customHeight="1">
      <c r="A354" s="71"/>
      <c r="B354" s="64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2.75" customHeight="1">
      <c r="A355" s="71"/>
      <c r="B355" s="64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2.75" customHeight="1">
      <c r="A356" s="71"/>
      <c r="B356" s="64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2.75" customHeight="1">
      <c r="A357" s="71"/>
      <c r="B357" s="64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2.75" customHeight="1">
      <c r="A358" s="71"/>
      <c r="B358" s="64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2.75" customHeight="1">
      <c r="A359" s="71"/>
      <c r="B359" s="64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2.75" customHeight="1">
      <c r="A360" s="71"/>
      <c r="B360" s="64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2.75" customHeight="1">
      <c r="A361" s="71"/>
      <c r="B361" s="64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2.75" customHeight="1">
      <c r="A362" s="71"/>
      <c r="B362" s="64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2.75" customHeight="1">
      <c r="A363" s="71"/>
      <c r="B363" s="64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2.75" customHeight="1">
      <c r="A364" s="71"/>
      <c r="B364" s="64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2.75" customHeight="1">
      <c r="A365" s="71"/>
      <c r="B365" s="64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2.75" customHeight="1">
      <c r="A366" s="71"/>
      <c r="B366" s="64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2.75" customHeight="1">
      <c r="A367" s="71"/>
      <c r="B367" s="64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2.75" customHeight="1">
      <c r="A368" s="71"/>
      <c r="B368" s="64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2.75" customHeight="1">
      <c r="A369" s="71"/>
      <c r="B369" s="64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2.75" customHeight="1">
      <c r="A370" s="71"/>
      <c r="B370" s="64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2.75" customHeight="1">
      <c r="A371" s="71"/>
      <c r="B371" s="64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2.75" customHeight="1">
      <c r="A372" s="71"/>
      <c r="B372" s="64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2.75" customHeight="1">
      <c r="A373" s="71"/>
      <c r="B373" s="64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2.75" customHeight="1">
      <c r="A374" s="71"/>
      <c r="B374" s="64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2.75" customHeight="1">
      <c r="A375" s="71"/>
      <c r="B375" s="64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2.75" customHeight="1">
      <c r="A376" s="71"/>
      <c r="B376" s="64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2.75" customHeight="1">
      <c r="A377" s="71"/>
      <c r="B377" s="64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2.75" customHeight="1">
      <c r="A378" s="71"/>
      <c r="B378" s="64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2.75" customHeight="1">
      <c r="A379" s="71"/>
      <c r="B379" s="64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2.75" customHeight="1">
      <c r="A380" s="71"/>
      <c r="B380" s="64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2.75" customHeight="1">
      <c r="A381" s="71"/>
      <c r="B381" s="64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2.75" customHeight="1">
      <c r="A382" s="71"/>
      <c r="B382" s="64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2.75" customHeight="1">
      <c r="A383" s="71"/>
      <c r="B383" s="64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2.75" customHeight="1">
      <c r="A384" s="71"/>
      <c r="B384" s="64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2.75" customHeight="1">
      <c r="A385" s="71"/>
      <c r="B385" s="64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2.75" customHeight="1">
      <c r="A386" s="71"/>
      <c r="B386" s="64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2.75" customHeight="1">
      <c r="A387" s="71"/>
      <c r="B387" s="64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2.75" customHeight="1">
      <c r="A388" s="71"/>
      <c r="B388" s="64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2.75" customHeight="1">
      <c r="A389" s="71"/>
      <c r="B389" s="64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2.75" customHeight="1">
      <c r="A390" s="71"/>
      <c r="B390" s="64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2.75" customHeight="1">
      <c r="A391" s="71"/>
      <c r="B391" s="64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2.75" customHeight="1">
      <c r="A392" s="71"/>
      <c r="B392" s="64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2.75" customHeight="1">
      <c r="A393" s="71"/>
      <c r="B393" s="64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2.75" customHeight="1">
      <c r="A394" s="71"/>
      <c r="B394" s="64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2.75" customHeight="1">
      <c r="A395" s="71"/>
      <c r="B395" s="64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2.75" customHeight="1">
      <c r="A396" s="71"/>
      <c r="B396" s="64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2.75" customHeight="1">
      <c r="A397" s="71"/>
      <c r="B397" s="64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2.75" customHeight="1">
      <c r="A398" s="71"/>
      <c r="B398" s="64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2.75" customHeight="1">
      <c r="A399" s="71"/>
      <c r="B399" s="64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2.75" customHeight="1">
      <c r="A400" s="71"/>
      <c r="B400" s="64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2.75" customHeight="1">
      <c r="A401" s="71"/>
      <c r="B401" s="64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2.75" customHeight="1">
      <c r="A402" s="71"/>
      <c r="B402" s="64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2.75" customHeight="1">
      <c r="A403" s="71"/>
      <c r="B403" s="64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2.75" customHeight="1">
      <c r="A404" s="71"/>
      <c r="B404" s="64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2.75" customHeight="1">
      <c r="A405" s="71"/>
      <c r="B405" s="64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2.75" customHeight="1">
      <c r="A406" s="71"/>
      <c r="B406" s="64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2.75" customHeight="1">
      <c r="A407" s="71"/>
      <c r="B407" s="64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2.75" customHeight="1">
      <c r="A408" s="71"/>
      <c r="B408" s="64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2.75" customHeight="1">
      <c r="A409" s="71"/>
      <c r="B409" s="64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2.75" customHeight="1">
      <c r="A410" s="71"/>
      <c r="B410" s="64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2.75" customHeight="1">
      <c r="A411" s="71"/>
      <c r="B411" s="64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2.75" customHeight="1">
      <c r="A412" s="71"/>
      <c r="B412" s="64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2.75" customHeight="1">
      <c r="A413" s="71"/>
      <c r="B413" s="64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2.75" customHeight="1">
      <c r="A414" s="71"/>
      <c r="B414" s="64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2.75" customHeight="1">
      <c r="A415" s="71"/>
      <c r="B415" s="64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2.75" customHeight="1">
      <c r="A416" s="71"/>
      <c r="B416" s="64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2.75" customHeight="1">
      <c r="A417" s="71"/>
      <c r="B417" s="64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2.75" customHeight="1">
      <c r="A418" s="71"/>
      <c r="B418" s="64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2.75" customHeight="1">
      <c r="A419" s="71"/>
      <c r="B419" s="64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2.75" customHeight="1">
      <c r="A420" s="71"/>
      <c r="B420" s="64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2.75" customHeight="1">
      <c r="A421" s="71"/>
      <c r="B421" s="64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2.75" customHeight="1">
      <c r="A422" s="71"/>
      <c r="B422" s="64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2.75" customHeight="1">
      <c r="A423" s="71"/>
      <c r="B423" s="64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2.75" customHeight="1">
      <c r="A424" s="71"/>
      <c r="B424" s="64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2.75" customHeight="1">
      <c r="A425" s="71"/>
      <c r="B425" s="64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2.75" customHeight="1">
      <c r="A426" s="71"/>
      <c r="B426" s="64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2.75" customHeight="1">
      <c r="A427" s="71"/>
      <c r="B427" s="64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2.75" customHeight="1">
      <c r="A428" s="71"/>
      <c r="B428" s="64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2.75" customHeight="1">
      <c r="A429" s="71"/>
      <c r="B429" s="64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2.75" customHeight="1">
      <c r="A430" s="71"/>
      <c r="B430" s="64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2.75" customHeight="1">
      <c r="A431" s="71"/>
      <c r="B431" s="64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2.75" customHeight="1">
      <c r="A432" s="71"/>
      <c r="B432" s="64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2.75" customHeight="1">
      <c r="A433" s="71"/>
      <c r="B433" s="64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2.75" customHeight="1">
      <c r="A434" s="71"/>
      <c r="B434" s="64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2.75" customHeight="1">
      <c r="A435" s="71"/>
      <c r="B435" s="64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2.75" customHeight="1">
      <c r="A436" s="71"/>
      <c r="B436" s="64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2.75" customHeight="1">
      <c r="A437" s="71"/>
      <c r="B437" s="64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2.75" customHeight="1">
      <c r="A438" s="71"/>
      <c r="B438" s="64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2.75" customHeight="1">
      <c r="A439" s="71"/>
      <c r="B439" s="64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2.75" customHeight="1">
      <c r="A440" s="71"/>
      <c r="B440" s="64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2.75" customHeight="1">
      <c r="A441" s="71"/>
      <c r="B441" s="64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2.75" customHeight="1">
      <c r="A442" s="71"/>
      <c r="B442" s="64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2.75" customHeight="1">
      <c r="A443" s="71"/>
      <c r="B443" s="64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2.75" customHeight="1">
      <c r="A444" s="71"/>
      <c r="B444" s="64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2.75" customHeight="1">
      <c r="A445" s="71"/>
      <c r="B445" s="64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2.75" customHeight="1">
      <c r="A446" s="71"/>
      <c r="B446" s="64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2.75" customHeight="1">
      <c r="A447" s="71"/>
      <c r="B447" s="64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2.75" customHeight="1">
      <c r="A448" s="71"/>
      <c r="B448" s="64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2.75" customHeight="1">
      <c r="A449" s="71"/>
      <c r="B449" s="64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2.75" customHeight="1">
      <c r="A450" s="71"/>
      <c r="B450" s="64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2.75" customHeight="1">
      <c r="A451" s="71"/>
      <c r="B451" s="64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2.75" customHeight="1">
      <c r="A452" s="71"/>
      <c r="B452" s="64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2.75" customHeight="1">
      <c r="A453" s="71"/>
      <c r="B453" s="64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2.75" customHeight="1">
      <c r="A454" s="71"/>
      <c r="B454" s="64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2.75" customHeight="1">
      <c r="A455" s="71"/>
      <c r="B455" s="64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2.75" customHeight="1">
      <c r="A456" s="71"/>
      <c r="B456" s="64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2.75" customHeight="1">
      <c r="A457" s="71"/>
      <c r="B457" s="64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2.75" customHeight="1">
      <c r="A458" s="71"/>
      <c r="B458" s="64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2.75" customHeight="1">
      <c r="A459" s="71"/>
      <c r="B459" s="64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2.75" customHeight="1">
      <c r="A460" s="71"/>
      <c r="B460" s="64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2.75" customHeight="1">
      <c r="A461" s="71"/>
      <c r="B461" s="64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2.75" customHeight="1">
      <c r="A462" s="71"/>
      <c r="B462" s="64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2.75" customHeight="1">
      <c r="A463" s="71"/>
      <c r="B463" s="64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2.75" customHeight="1">
      <c r="A464" s="71"/>
      <c r="B464" s="64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2.75" customHeight="1">
      <c r="A465" s="71"/>
      <c r="B465" s="64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2.75" customHeight="1">
      <c r="A466" s="71"/>
      <c r="B466" s="64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2.75" customHeight="1">
      <c r="A467" s="71"/>
      <c r="B467" s="64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2.75" customHeight="1">
      <c r="A468" s="71"/>
      <c r="B468" s="64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2.75" customHeight="1">
      <c r="A469" s="71"/>
      <c r="B469" s="64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2.75" customHeight="1">
      <c r="A470" s="71"/>
      <c r="B470" s="64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2.75" customHeight="1">
      <c r="A471" s="71"/>
      <c r="B471" s="64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2.75" customHeight="1">
      <c r="A472" s="71"/>
      <c r="B472" s="64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2.75" customHeight="1">
      <c r="A473" s="71"/>
      <c r="B473" s="64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2.75" customHeight="1">
      <c r="A474" s="71"/>
      <c r="B474" s="64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2.75" customHeight="1">
      <c r="A475" s="71"/>
      <c r="B475" s="64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2.75" customHeight="1">
      <c r="A476" s="71"/>
      <c r="B476" s="64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2.75" customHeight="1">
      <c r="A477" s="71"/>
      <c r="B477" s="64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2.75" customHeight="1">
      <c r="A478" s="71"/>
      <c r="B478" s="64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2.75" customHeight="1">
      <c r="A479" s="71"/>
      <c r="B479" s="64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2.75" customHeight="1">
      <c r="A480" s="71"/>
      <c r="B480" s="64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2.75" customHeight="1">
      <c r="A481" s="71"/>
      <c r="B481" s="64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2.75" customHeight="1">
      <c r="A482" s="71"/>
      <c r="B482" s="64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2.75" customHeight="1">
      <c r="A483" s="71"/>
      <c r="B483" s="64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2.75" customHeight="1">
      <c r="A484" s="71"/>
      <c r="B484" s="64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2.75" customHeight="1">
      <c r="A485" s="71"/>
      <c r="B485" s="64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2.75" customHeight="1">
      <c r="A486" s="71"/>
      <c r="B486" s="64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2.75" customHeight="1">
      <c r="A487" s="71"/>
      <c r="B487" s="64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2.75" customHeight="1">
      <c r="A488" s="71"/>
      <c r="B488" s="64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2.75" customHeight="1">
      <c r="A489" s="71"/>
      <c r="B489" s="64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2.75" customHeight="1">
      <c r="A490" s="71"/>
      <c r="B490" s="64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2.75" customHeight="1">
      <c r="A491" s="71"/>
      <c r="B491" s="64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2.75" customHeight="1">
      <c r="A492" s="71"/>
      <c r="B492" s="64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2.75" customHeight="1">
      <c r="A493" s="71"/>
      <c r="B493" s="64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2.75" customHeight="1">
      <c r="A494" s="71"/>
      <c r="B494" s="64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2.75" customHeight="1">
      <c r="A495" s="71"/>
      <c r="B495" s="64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2.75" customHeight="1">
      <c r="A496" s="71"/>
      <c r="B496" s="64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2.75" customHeight="1">
      <c r="A497" s="71"/>
      <c r="B497" s="64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2.75" customHeight="1">
      <c r="A498" s="71"/>
      <c r="B498" s="64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2.75" customHeight="1">
      <c r="A499" s="71"/>
      <c r="B499" s="64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2.75" customHeight="1">
      <c r="A500" s="71"/>
      <c r="B500" s="64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2.75" customHeight="1">
      <c r="A501" s="71"/>
      <c r="B501" s="64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2.75" customHeight="1">
      <c r="A502" s="71"/>
      <c r="B502" s="64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2.75" customHeight="1">
      <c r="A503" s="71"/>
      <c r="B503" s="64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2.75" customHeight="1">
      <c r="A504" s="71"/>
      <c r="B504" s="64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2.75" customHeight="1">
      <c r="A505" s="71"/>
      <c r="B505" s="64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2.75" customHeight="1">
      <c r="A506" s="71"/>
      <c r="B506" s="64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2.75" customHeight="1">
      <c r="A507" s="71"/>
      <c r="B507" s="64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2.75" customHeight="1">
      <c r="A508" s="71"/>
      <c r="B508" s="64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2.75" customHeight="1">
      <c r="A509" s="71"/>
      <c r="B509" s="64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2.75" customHeight="1">
      <c r="A510" s="71"/>
      <c r="B510" s="64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2.75" customHeight="1">
      <c r="A511" s="71"/>
      <c r="B511" s="64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2.75" customHeight="1">
      <c r="A512" s="71"/>
      <c r="B512" s="64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2.75" customHeight="1">
      <c r="A513" s="71"/>
      <c r="B513" s="64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2.75" customHeight="1">
      <c r="A514" s="71"/>
      <c r="B514" s="64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2.75" customHeight="1">
      <c r="A515" s="71"/>
      <c r="B515" s="64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2.75" customHeight="1">
      <c r="A516" s="71"/>
      <c r="B516" s="64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2.75" customHeight="1">
      <c r="A517" s="71"/>
      <c r="B517" s="64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2.75" customHeight="1">
      <c r="A518" s="71"/>
      <c r="B518" s="64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2.75" customHeight="1">
      <c r="A519" s="71"/>
      <c r="B519" s="64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2.75" customHeight="1">
      <c r="A520" s="71"/>
      <c r="B520" s="64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2.75" customHeight="1">
      <c r="A521" s="71"/>
      <c r="B521" s="64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2.75" customHeight="1">
      <c r="A522" s="71"/>
      <c r="B522" s="64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2.75" customHeight="1">
      <c r="A523" s="71"/>
      <c r="B523" s="64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2.75" customHeight="1">
      <c r="A524" s="71"/>
      <c r="B524" s="64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2.75" customHeight="1">
      <c r="A525" s="71"/>
      <c r="B525" s="64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2.75" customHeight="1">
      <c r="A526" s="71"/>
      <c r="B526" s="64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2.75" customHeight="1">
      <c r="A527" s="71"/>
      <c r="B527" s="64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2.75" customHeight="1">
      <c r="A528" s="71"/>
      <c r="B528" s="64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2.75" customHeight="1">
      <c r="A529" s="71"/>
      <c r="B529" s="64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2.75" customHeight="1">
      <c r="A530" s="71"/>
      <c r="B530" s="64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2.75" customHeight="1">
      <c r="A531" s="71"/>
      <c r="B531" s="64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2.75" customHeight="1">
      <c r="A532" s="71"/>
      <c r="B532" s="64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2.75" customHeight="1">
      <c r="A533" s="71"/>
      <c r="B533" s="64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2.75" customHeight="1">
      <c r="A534" s="71"/>
      <c r="B534" s="64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2.75" customHeight="1">
      <c r="A535" s="71"/>
      <c r="B535" s="64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2.75" customHeight="1">
      <c r="A536" s="71"/>
      <c r="B536" s="64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2.75" customHeight="1">
      <c r="A537" s="71"/>
      <c r="B537" s="64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2.75" customHeight="1">
      <c r="A538" s="71"/>
      <c r="B538" s="64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2.75" customHeight="1">
      <c r="A539" s="71"/>
      <c r="B539" s="64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2.75" customHeight="1">
      <c r="A540" s="71"/>
      <c r="B540" s="64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2.75" customHeight="1">
      <c r="A541" s="71"/>
      <c r="B541" s="64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2.75" customHeight="1">
      <c r="A542" s="71"/>
      <c r="B542" s="64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2.75" customHeight="1">
      <c r="A543" s="71"/>
      <c r="B543" s="64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2.75" customHeight="1">
      <c r="A544" s="71"/>
      <c r="B544" s="64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2.75" customHeight="1">
      <c r="A545" s="71"/>
      <c r="B545" s="64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2.75" customHeight="1">
      <c r="A546" s="71"/>
      <c r="B546" s="64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2.75" customHeight="1">
      <c r="A547" s="71"/>
      <c r="B547" s="64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2.75" customHeight="1">
      <c r="A548" s="71"/>
      <c r="B548" s="64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2.75" customHeight="1">
      <c r="A549" s="71"/>
      <c r="B549" s="64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2.75" customHeight="1">
      <c r="A550" s="71"/>
      <c r="B550" s="64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2.75" customHeight="1">
      <c r="A551" s="71"/>
      <c r="B551" s="64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2.75" customHeight="1">
      <c r="A552" s="71"/>
      <c r="B552" s="64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2.75" customHeight="1">
      <c r="A553" s="71"/>
      <c r="B553" s="64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2.75" customHeight="1">
      <c r="A554" s="71"/>
      <c r="B554" s="64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2.75" customHeight="1">
      <c r="A555" s="71"/>
      <c r="B555" s="64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2.75" customHeight="1">
      <c r="A556" s="71"/>
      <c r="B556" s="64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2.75" customHeight="1">
      <c r="A557" s="71"/>
      <c r="B557" s="64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2.75" customHeight="1">
      <c r="A558" s="71"/>
      <c r="B558" s="64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2.75" customHeight="1">
      <c r="A559" s="71"/>
      <c r="B559" s="64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2.75" customHeight="1">
      <c r="A560" s="71"/>
      <c r="B560" s="64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2.75" customHeight="1">
      <c r="A561" s="71"/>
      <c r="B561" s="64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2.75" customHeight="1">
      <c r="A562" s="71"/>
      <c r="B562" s="64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2.75" customHeight="1">
      <c r="A563" s="71"/>
      <c r="B563" s="64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2.75" customHeight="1">
      <c r="A564" s="71"/>
      <c r="B564" s="64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2.75" customHeight="1">
      <c r="A565" s="71"/>
      <c r="B565" s="64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2.75" customHeight="1">
      <c r="A566" s="71"/>
      <c r="B566" s="64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2.75" customHeight="1">
      <c r="A567" s="71"/>
      <c r="B567" s="64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2.75" customHeight="1">
      <c r="A568" s="71"/>
      <c r="B568" s="64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2.75" customHeight="1">
      <c r="A569" s="71"/>
      <c r="B569" s="64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2.75" customHeight="1">
      <c r="A570" s="71"/>
      <c r="B570" s="64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2.75" customHeight="1">
      <c r="A571" s="71"/>
      <c r="B571" s="64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2.75" customHeight="1">
      <c r="A572" s="71"/>
      <c r="B572" s="64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2.75" customHeight="1">
      <c r="A573" s="71"/>
      <c r="B573" s="64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2.75" customHeight="1">
      <c r="A574" s="71"/>
      <c r="B574" s="64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2.75" customHeight="1">
      <c r="A575" s="71"/>
      <c r="B575" s="64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2.75" customHeight="1">
      <c r="A576" s="71"/>
      <c r="B576" s="64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2.75" customHeight="1">
      <c r="A577" s="71"/>
      <c r="B577" s="64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2.75" customHeight="1">
      <c r="A578" s="71"/>
      <c r="B578" s="64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2.75" customHeight="1">
      <c r="A579" s="71"/>
      <c r="B579" s="64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2.75" customHeight="1">
      <c r="A580" s="71"/>
      <c r="B580" s="64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2.75" customHeight="1">
      <c r="A581" s="71"/>
      <c r="B581" s="64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2.75" customHeight="1">
      <c r="A582" s="71"/>
      <c r="B582" s="64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2.75" customHeight="1">
      <c r="A583" s="71"/>
      <c r="B583" s="64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2.75" customHeight="1">
      <c r="A584" s="71"/>
      <c r="B584" s="64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2.75" customHeight="1">
      <c r="A585" s="71"/>
      <c r="B585" s="64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2.75" customHeight="1">
      <c r="A586" s="71"/>
      <c r="B586" s="64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2.75" customHeight="1">
      <c r="A587" s="71"/>
      <c r="B587" s="64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2.75" customHeight="1">
      <c r="A588" s="71"/>
      <c r="B588" s="64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2.75" customHeight="1">
      <c r="A589" s="71"/>
      <c r="B589" s="64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2.75" customHeight="1">
      <c r="A590" s="71"/>
      <c r="B590" s="64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2.75" customHeight="1">
      <c r="A591" s="71"/>
      <c r="B591" s="64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2.75" customHeight="1">
      <c r="A592" s="71"/>
      <c r="B592" s="64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2.75" customHeight="1">
      <c r="A593" s="71"/>
      <c r="B593" s="64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2.75" customHeight="1">
      <c r="A594" s="71"/>
      <c r="B594" s="64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2.75" customHeight="1">
      <c r="A595" s="71"/>
      <c r="B595" s="64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2.75" customHeight="1">
      <c r="A596" s="71"/>
      <c r="B596" s="64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2.75" customHeight="1">
      <c r="A597" s="71"/>
      <c r="B597" s="64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2.75" customHeight="1">
      <c r="A598" s="71"/>
      <c r="B598" s="64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2.75" customHeight="1">
      <c r="A599" s="71"/>
      <c r="B599" s="64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2.75" customHeight="1">
      <c r="A600" s="71"/>
      <c r="B600" s="64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2.75" customHeight="1">
      <c r="A601" s="71"/>
      <c r="B601" s="64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2.75" customHeight="1">
      <c r="A602" s="71"/>
      <c r="B602" s="64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2.75" customHeight="1">
      <c r="A603" s="71"/>
      <c r="B603" s="64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2.75" customHeight="1">
      <c r="A604" s="71"/>
      <c r="B604" s="64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2.75" customHeight="1">
      <c r="A605" s="71"/>
      <c r="B605" s="64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2.75" customHeight="1">
      <c r="A606" s="71"/>
      <c r="B606" s="64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2.75" customHeight="1">
      <c r="A607" s="71"/>
      <c r="B607" s="64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2.75" customHeight="1">
      <c r="A608" s="71"/>
      <c r="B608" s="64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2.75" customHeight="1">
      <c r="A609" s="71"/>
      <c r="B609" s="64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2.75" customHeight="1">
      <c r="A610" s="71"/>
      <c r="B610" s="64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2.75" customHeight="1">
      <c r="A611" s="71"/>
      <c r="B611" s="64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2.75" customHeight="1">
      <c r="A612" s="71"/>
      <c r="B612" s="64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2.75" customHeight="1">
      <c r="A613" s="71"/>
      <c r="B613" s="64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2.75" customHeight="1">
      <c r="A614" s="71"/>
      <c r="B614" s="64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2.75" customHeight="1">
      <c r="A615" s="71"/>
      <c r="B615" s="64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2.75" customHeight="1">
      <c r="A616" s="71"/>
      <c r="B616" s="64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2.75" customHeight="1">
      <c r="A617" s="71"/>
      <c r="B617" s="64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2.75" customHeight="1">
      <c r="A618" s="71"/>
      <c r="B618" s="64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2.75" customHeight="1">
      <c r="A619" s="71"/>
      <c r="B619" s="64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2.75" customHeight="1">
      <c r="A620" s="71"/>
      <c r="B620" s="64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2.75" customHeight="1">
      <c r="A621" s="71"/>
      <c r="B621" s="64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2.75" customHeight="1">
      <c r="A622" s="71"/>
      <c r="B622" s="64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2.75" customHeight="1">
      <c r="A623" s="71"/>
      <c r="B623" s="64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2.75" customHeight="1">
      <c r="A624" s="71"/>
      <c r="B624" s="64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2.75" customHeight="1">
      <c r="A625" s="71"/>
      <c r="B625" s="64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2.75" customHeight="1">
      <c r="A626" s="71"/>
      <c r="B626" s="64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2.75" customHeight="1">
      <c r="A627" s="71"/>
      <c r="B627" s="64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2.75" customHeight="1">
      <c r="A628" s="71"/>
      <c r="B628" s="64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2.75" customHeight="1">
      <c r="A629" s="71"/>
      <c r="B629" s="64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2.75" customHeight="1">
      <c r="A630" s="71"/>
      <c r="B630" s="64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2.75" customHeight="1">
      <c r="A631" s="71"/>
      <c r="B631" s="64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2.75" customHeight="1">
      <c r="A632" s="71"/>
      <c r="B632" s="64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2.75" customHeight="1">
      <c r="A633" s="71"/>
      <c r="B633" s="64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2.75" customHeight="1">
      <c r="A634" s="71"/>
      <c r="B634" s="64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2.75" customHeight="1">
      <c r="A635" s="71"/>
      <c r="B635" s="64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2.75" customHeight="1">
      <c r="A636" s="71"/>
      <c r="B636" s="64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2.75" customHeight="1">
      <c r="A637" s="71"/>
      <c r="B637" s="64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2.75" customHeight="1">
      <c r="A638" s="71"/>
      <c r="B638" s="64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2.75" customHeight="1">
      <c r="A639" s="71"/>
      <c r="B639" s="64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2.75" customHeight="1">
      <c r="A640" s="71"/>
      <c r="B640" s="64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2.75" customHeight="1">
      <c r="A641" s="71"/>
      <c r="B641" s="64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2.75" customHeight="1">
      <c r="A642" s="71"/>
      <c r="B642" s="64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2.75" customHeight="1">
      <c r="A643" s="71"/>
      <c r="B643" s="64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2.75" customHeight="1">
      <c r="A644" s="71"/>
      <c r="B644" s="64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2.75" customHeight="1">
      <c r="A645" s="71"/>
      <c r="B645" s="64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2.75" customHeight="1">
      <c r="A646" s="71"/>
      <c r="B646" s="64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2.75" customHeight="1">
      <c r="A647" s="71"/>
      <c r="B647" s="64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2.75" customHeight="1">
      <c r="A648" s="71"/>
      <c r="B648" s="64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2.75" customHeight="1">
      <c r="A649" s="71"/>
      <c r="B649" s="64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2.75" customHeight="1">
      <c r="A650" s="71"/>
      <c r="B650" s="64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2.75" customHeight="1">
      <c r="A651" s="71"/>
      <c r="B651" s="64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2.75" customHeight="1">
      <c r="A652" s="71"/>
      <c r="B652" s="64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2.75" customHeight="1">
      <c r="A653" s="71"/>
      <c r="B653" s="64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2.75" customHeight="1">
      <c r="A654" s="71"/>
      <c r="B654" s="64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2.75" customHeight="1">
      <c r="A655" s="71"/>
      <c r="B655" s="64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2.75" customHeight="1">
      <c r="A656" s="71"/>
      <c r="B656" s="64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2.75" customHeight="1">
      <c r="A657" s="71"/>
      <c r="B657" s="64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2.75" customHeight="1">
      <c r="A658" s="71"/>
      <c r="B658" s="64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2.75" customHeight="1">
      <c r="A659" s="71"/>
      <c r="B659" s="64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2.75" customHeight="1">
      <c r="A660" s="71"/>
      <c r="B660" s="64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2.75" customHeight="1">
      <c r="A661" s="71"/>
      <c r="B661" s="64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2.75" customHeight="1">
      <c r="A662" s="71"/>
      <c r="B662" s="64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2.75" customHeight="1">
      <c r="A663" s="71"/>
      <c r="B663" s="64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2.75" customHeight="1">
      <c r="A664" s="71"/>
      <c r="B664" s="64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2.75" customHeight="1">
      <c r="A665" s="71"/>
      <c r="B665" s="64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2.75" customHeight="1">
      <c r="A666" s="71"/>
      <c r="B666" s="64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2.75" customHeight="1">
      <c r="A667" s="71"/>
      <c r="B667" s="64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2.75" customHeight="1">
      <c r="A668" s="71"/>
      <c r="B668" s="64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2.75" customHeight="1">
      <c r="A669" s="71"/>
      <c r="B669" s="64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2.75" customHeight="1">
      <c r="A670" s="71"/>
      <c r="B670" s="64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2.75" customHeight="1">
      <c r="A671" s="71"/>
      <c r="B671" s="64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2.75" customHeight="1">
      <c r="A672" s="71"/>
      <c r="B672" s="64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2.75" customHeight="1">
      <c r="A673" s="71"/>
      <c r="B673" s="64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2.75" customHeight="1">
      <c r="A674" s="71"/>
      <c r="B674" s="64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2.75" customHeight="1">
      <c r="A675" s="71"/>
      <c r="B675" s="64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2.75" customHeight="1">
      <c r="A676" s="71"/>
      <c r="B676" s="64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2.75" customHeight="1">
      <c r="A677" s="71"/>
      <c r="B677" s="64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2.75" customHeight="1">
      <c r="A678" s="71"/>
      <c r="B678" s="64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2.75" customHeight="1">
      <c r="A679" s="71"/>
      <c r="B679" s="64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2.75" customHeight="1">
      <c r="A680" s="71"/>
      <c r="B680" s="64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2.75" customHeight="1">
      <c r="A681" s="71"/>
      <c r="B681" s="64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2.75" customHeight="1">
      <c r="A682" s="71"/>
      <c r="B682" s="64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2.75" customHeight="1">
      <c r="A683" s="71"/>
      <c r="B683" s="64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2.75" customHeight="1">
      <c r="A684" s="71"/>
      <c r="B684" s="64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2.75" customHeight="1">
      <c r="A685" s="71"/>
      <c r="B685" s="64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2.75" customHeight="1">
      <c r="A686" s="71"/>
      <c r="B686" s="64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2.75" customHeight="1">
      <c r="A687" s="71"/>
      <c r="B687" s="64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2.75" customHeight="1">
      <c r="A688" s="71"/>
      <c r="B688" s="64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2.75" customHeight="1">
      <c r="A689" s="71"/>
      <c r="B689" s="64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2.75" customHeight="1">
      <c r="A690" s="71"/>
      <c r="B690" s="64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2.75" customHeight="1">
      <c r="A691" s="71"/>
      <c r="B691" s="64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2.75" customHeight="1">
      <c r="A692" s="71"/>
      <c r="B692" s="64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2.75" customHeight="1">
      <c r="A693" s="71"/>
      <c r="B693" s="64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2.75" customHeight="1">
      <c r="A694" s="71"/>
      <c r="B694" s="64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2.75" customHeight="1">
      <c r="A695" s="71"/>
      <c r="B695" s="64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2.75" customHeight="1">
      <c r="A696" s="71"/>
      <c r="B696" s="64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2.75" customHeight="1">
      <c r="A697" s="71"/>
      <c r="B697" s="64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2.75" customHeight="1">
      <c r="A698" s="71"/>
      <c r="B698" s="64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2.75" customHeight="1">
      <c r="A699" s="71"/>
      <c r="B699" s="64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2.75" customHeight="1">
      <c r="A700" s="71"/>
      <c r="B700" s="64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2.75" customHeight="1">
      <c r="A701" s="71"/>
      <c r="B701" s="64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2.75" customHeight="1">
      <c r="A702" s="71"/>
      <c r="B702" s="64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2.75" customHeight="1">
      <c r="A703" s="71"/>
      <c r="B703" s="64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2.75" customHeight="1">
      <c r="A704" s="71"/>
      <c r="B704" s="64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2.75" customHeight="1">
      <c r="A705" s="71"/>
      <c r="B705" s="64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2.75" customHeight="1">
      <c r="A706" s="71"/>
      <c r="B706" s="64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2.75" customHeight="1">
      <c r="A707" s="71"/>
      <c r="B707" s="64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2.75" customHeight="1">
      <c r="A708" s="71"/>
      <c r="B708" s="64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2.75" customHeight="1">
      <c r="A709" s="71"/>
      <c r="B709" s="64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2.75" customHeight="1">
      <c r="A710" s="71"/>
      <c r="B710" s="64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2.75" customHeight="1">
      <c r="A711" s="71"/>
      <c r="B711" s="64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2.75" customHeight="1">
      <c r="A712" s="71"/>
      <c r="B712" s="64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2.75" customHeight="1">
      <c r="A713" s="71"/>
      <c r="B713" s="64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2.75" customHeight="1">
      <c r="A714" s="71"/>
      <c r="B714" s="64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2.75" customHeight="1">
      <c r="A715" s="71"/>
      <c r="B715" s="64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2.75" customHeight="1">
      <c r="A716" s="71"/>
      <c r="B716" s="64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2.75" customHeight="1">
      <c r="A717" s="71"/>
      <c r="B717" s="64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2.75" customHeight="1">
      <c r="A718" s="71"/>
      <c r="B718" s="64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2.75" customHeight="1">
      <c r="A719" s="71"/>
      <c r="B719" s="64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2.75" customHeight="1">
      <c r="A720" s="71"/>
      <c r="B720" s="64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2.75" customHeight="1">
      <c r="A721" s="71"/>
      <c r="B721" s="64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2.75" customHeight="1">
      <c r="A722" s="71"/>
      <c r="B722" s="64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2.75" customHeight="1">
      <c r="A723" s="71"/>
      <c r="B723" s="64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2.75" customHeight="1">
      <c r="A724" s="71"/>
      <c r="B724" s="64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2.75" customHeight="1">
      <c r="A725" s="71"/>
      <c r="B725" s="64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2.75" customHeight="1">
      <c r="A726" s="71"/>
      <c r="B726" s="64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2.75" customHeight="1">
      <c r="A727" s="71"/>
      <c r="B727" s="64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2.75" customHeight="1">
      <c r="A728" s="71"/>
      <c r="B728" s="64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2.75" customHeight="1">
      <c r="A729" s="71"/>
      <c r="B729" s="64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2.75" customHeight="1">
      <c r="A730" s="71"/>
      <c r="B730" s="64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2.75" customHeight="1">
      <c r="A731" s="71"/>
      <c r="B731" s="64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2.75" customHeight="1">
      <c r="A732" s="71"/>
      <c r="B732" s="64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2.75" customHeight="1">
      <c r="A733" s="71"/>
      <c r="B733" s="64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2.75" customHeight="1">
      <c r="A734" s="71"/>
      <c r="B734" s="64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2.75" customHeight="1">
      <c r="A735" s="71"/>
      <c r="B735" s="64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2.75" customHeight="1">
      <c r="A736" s="71"/>
      <c r="B736" s="64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2.75" customHeight="1">
      <c r="A737" s="71"/>
      <c r="B737" s="64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2.75" customHeight="1">
      <c r="A738" s="71"/>
      <c r="B738" s="64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2.75" customHeight="1">
      <c r="A739" s="71"/>
      <c r="B739" s="64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2.75" customHeight="1">
      <c r="A740" s="71"/>
      <c r="B740" s="64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2.75" customHeight="1">
      <c r="A741" s="71"/>
      <c r="B741" s="64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2.75" customHeight="1">
      <c r="A742" s="71"/>
      <c r="B742" s="64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2.75" customHeight="1">
      <c r="A743" s="71"/>
      <c r="B743" s="64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2.75" customHeight="1">
      <c r="A744" s="71"/>
      <c r="B744" s="64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2.75" customHeight="1">
      <c r="A745" s="71"/>
      <c r="B745" s="64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2.75" customHeight="1">
      <c r="A746" s="71"/>
      <c r="B746" s="64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2.75" customHeight="1">
      <c r="A747" s="71"/>
      <c r="B747" s="64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2.75" customHeight="1">
      <c r="A748" s="71"/>
      <c r="B748" s="64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2.75" customHeight="1">
      <c r="A749" s="71"/>
      <c r="B749" s="64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2.75" customHeight="1">
      <c r="A750" s="71"/>
      <c r="B750" s="64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2.75" customHeight="1">
      <c r="A751" s="71"/>
      <c r="B751" s="64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2.75" customHeight="1">
      <c r="A752" s="71"/>
      <c r="B752" s="64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2.75" customHeight="1">
      <c r="A753" s="71"/>
      <c r="B753" s="64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2.75" customHeight="1">
      <c r="A754" s="71"/>
      <c r="B754" s="64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2.75" customHeight="1">
      <c r="A755" s="71"/>
      <c r="B755" s="64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2.75" customHeight="1">
      <c r="A756" s="71"/>
      <c r="B756" s="64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2.75" customHeight="1">
      <c r="A757" s="71"/>
      <c r="B757" s="64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2.75" customHeight="1">
      <c r="A758" s="71"/>
      <c r="B758" s="64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2.75" customHeight="1">
      <c r="A759" s="71"/>
      <c r="B759" s="64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2.75" customHeight="1">
      <c r="A760" s="71"/>
      <c r="B760" s="64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2.75" customHeight="1">
      <c r="A761" s="71"/>
      <c r="B761" s="64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2.75" customHeight="1">
      <c r="A762" s="71"/>
      <c r="B762" s="64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2.75" customHeight="1">
      <c r="A763" s="71"/>
      <c r="B763" s="64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2.75" customHeight="1">
      <c r="A764" s="71"/>
      <c r="B764" s="64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2.75" customHeight="1">
      <c r="A765" s="71"/>
      <c r="B765" s="64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2.75" customHeight="1">
      <c r="A766" s="71"/>
      <c r="B766" s="64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2.75" customHeight="1">
      <c r="A767" s="71"/>
      <c r="B767" s="64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2.75" customHeight="1">
      <c r="A768" s="71"/>
      <c r="B768" s="64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2.75" customHeight="1">
      <c r="A769" s="71"/>
      <c r="B769" s="64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2.75" customHeight="1">
      <c r="A770" s="71"/>
      <c r="B770" s="64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2.75" customHeight="1">
      <c r="A771" s="71"/>
      <c r="B771" s="64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2.75" customHeight="1">
      <c r="A772" s="71"/>
      <c r="B772" s="64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2.75" customHeight="1">
      <c r="A773" s="71"/>
      <c r="B773" s="64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2.75" customHeight="1">
      <c r="A774" s="71"/>
      <c r="B774" s="64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2.75" customHeight="1">
      <c r="A775" s="71"/>
      <c r="B775" s="64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2.75" customHeight="1">
      <c r="A776" s="71"/>
      <c r="B776" s="64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2.75" customHeight="1">
      <c r="A777" s="71"/>
      <c r="B777" s="64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2.75" customHeight="1">
      <c r="A778" s="71"/>
      <c r="B778" s="64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2.75" customHeight="1">
      <c r="A779" s="71"/>
      <c r="B779" s="64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2.75" customHeight="1">
      <c r="A780" s="71"/>
      <c r="B780" s="64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2.75" customHeight="1">
      <c r="A781" s="71"/>
      <c r="B781" s="64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2.75" customHeight="1">
      <c r="A782" s="71"/>
      <c r="B782" s="64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2.75" customHeight="1">
      <c r="A783" s="71"/>
      <c r="B783" s="64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2.75" customHeight="1">
      <c r="A784" s="71"/>
      <c r="B784" s="64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2.75" customHeight="1">
      <c r="A785" s="71"/>
      <c r="B785" s="64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2.75" customHeight="1">
      <c r="A786" s="71"/>
      <c r="B786" s="64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2.75" customHeight="1">
      <c r="A787" s="71"/>
      <c r="B787" s="64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2.75" customHeight="1">
      <c r="A788" s="71"/>
      <c r="B788" s="64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2.75" customHeight="1">
      <c r="A789" s="71"/>
      <c r="B789" s="64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2.75" customHeight="1">
      <c r="A790" s="71"/>
      <c r="B790" s="64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2.75" customHeight="1">
      <c r="A791" s="71"/>
      <c r="B791" s="64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2.75" customHeight="1">
      <c r="A792" s="71"/>
      <c r="B792" s="64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2.75" customHeight="1">
      <c r="A793" s="71"/>
      <c r="B793" s="64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2.75" customHeight="1">
      <c r="A794" s="71"/>
      <c r="B794" s="64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2.75" customHeight="1">
      <c r="A795" s="71"/>
      <c r="B795" s="64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2.75" customHeight="1">
      <c r="A796" s="71"/>
      <c r="B796" s="64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2.75" customHeight="1">
      <c r="A797" s="71"/>
      <c r="B797" s="64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2.75" customHeight="1">
      <c r="A798" s="71"/>
      <c r="B798" s="64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2.75" customHeight="1">
      <c r="A799" s="71"/>
      <c r="B799" s="64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2.75" customHeight="1">
      <c r="A800" s="71"/>
      <c r="B800" s="64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2.75" customHeight="1">
      <c r="A801" s="71"/>
      <c r="B801" s="64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2.75" customHeight="1">
      <c r="A802" s="71"/>
      <c r="B802" s="64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2.75" customHeight="1">
      <c r="A803" s="71"/>
      <c r="B803" s="64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2.75" customHeight="1">
      <c r="A804" s="71"/>
      <c r="B804" s="64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2.75" customHeight="1">
      <c r="A805" s="71"/>
      <c r="B805" s="64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2.75" customHeight="1">
      <c r="A806" s="71"/>
      <c r="B806" s="64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2.75" customHeight="1">
      <c r="A807" s="71"/>
      <c r="B807" s="64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2.75" customHeight="1">
      <c r="A808" s="71"/>
      <c r="B808" s="64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2.75" customHeight="1">
      <c r="A809" s="71"/>
      <c r="B809" s="64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2.75" customHeight="1">
      <c r="A810" s="71"/>
      <c r="B810" s="64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2.75" customHeight="1">
      <c r="A811" s="71"/>
      <c r="B811" s="64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2.75" customHeight="1">
      <c r="A812" s="71"/>
      <c r="B812" s="64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2.75" customHeight="1">
      <c r="A813" s="71"/>
      <c r="B813" s="64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2.75" customHeight="1">
      <c r="A814" s="71"/>
      <c r="B814" s="64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2.75" customHeight="1">
      <c r="A815" s="71"/>
      <c r="B815" s="64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2.75" customHeight="1">
      <c r="A816" s="71"/>
      <c r="B816" s="64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2.75" customHeight="1">
      <c r="A817" s="71"/>
      <c r="B817" s="64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2.75" customHeight="1">
      <c r="A818" s="71"/>
      <c r="B818" s="64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2.75" customHeight="1">
      <c r="A819" s="71"/>
      <c r="B819" s="64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2.75" customHeight="1">
      <c r="A820" s="71"/>
      <c r="B820" s="64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2.75" customHeight="1">
      <c r="A821" s="71"/>
      <c r="B821" s="64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2.75" customHeight="1">
      <c r="A822" s="71"/>
      <c r="B822" s="64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2.75" customHeight="1">
      <c r="A823" s="71"/>
      <c r="B823" s="64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2.75" customHeight="1">
      <c r="A824" s="71"/>
      <c r="B824" s="64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2.75" customHeight="1">
      <c r="A825" s="71"/>
      <c r="B825" s="64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2.75" customHeight="1">
      <c r="A826" s="71"/>
      <c r="B826" s="64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2.75" customHeight="1">
      <c r="A827" s="71"/>
      <c r="B827" s="64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2.75" customHeight="1">
      <c r="A828" s="71"/>
      <c r="B828" s="64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2.75" customHeight="1">
      <c r="A829" s="71"/>
      <c r="B829" s="64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2.75" customHeight="1">
      <c r="A830" s="71"/>
      <c r="B830" s="64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2.75" customHeight="1">
      <c r="A831" s="71"/>
      <c r="B831" s="64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2.75" customHeight="1">
      <c r="A832" s="71"/>
      <c r="B832" s="64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2.75" customHeight="1">
      <c r="A833" s="71"/>
      <c r="B833" s="64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2.75" customHeight="1">
      <c r="A834" s="71"/>
      <c r="B834" s="64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2.75" customHeight="1">
      <c r="A835" s="71"/>
      <c r="B835" s="64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2.75" customHeight="1">
      <c r="A836" s="71"/>
      <c r="B836" s="64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2.75" customHeight="1">
      <c r="A837" s="71"/>
      <c r="B837" s="64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2.75" customHeight="1">
      <c r="A838" s="71"/>
      <c r="B838" s="64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2.75" customHeight="1">
      <c r="A839" s="71"/>
      <c r="B839" s="64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2.75" customHeight="1">
      <c r="A840" s="71"/>
      <c r="B840" s="64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2.75" customHeight="1">
      <c r="A841" s="71"/>
      <c r="B841" s="64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2.75" customHeight="1">
      <c r="A842" s="71"/>
      <c r="B842" s="64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2.75" customHeight="1">
      <c r="A843" s="71"/>
      <c r="B843" s="64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2.75" customHeight="1">
      <c r="A844" s="71"/>
      <c r="B844" s="64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2.75" customHeight="1">
      <c r="A845" s="71"/>
      <c r="B845" s="64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2.75" customHeight="1">
      <c r="A846" s="71"/>
      <c r="B846" s="64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2.75" customHeight="1">
      <c r="A847" s="71"/>
      <c r="B847" s="64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2.75" customHeight="1">
      <c r="A848" s="71"/>
      <c r="B848" s="64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2.75" customHeight="1">
      <c r="A849" s="71"/>
      <c r="B849" s="64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2.75" customHeight="1">
      <c r="A850" s="71"/>
      <c r="B850" s="64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2.75" customHeight="1">
      <c r="A851" s="71"/>
      <c r="B851" s="64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2.75" customHeight="1">
      <c r="A852" s="71"/>
      <c r="B852" s="64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2.75" customHeight="1">
      <c r="A853" s="71"/>
      <c r="B853" s="64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2.75" customHeight="1">
      <c r="A854" s="71"/>
      <c r="B854" s="64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2.75" customHeight="1">
      <c r="A855" s="71"/>
      <c r="B855" s="64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2.75" customHeight="1">
      <c r="A856" s="71"/>
      <c r="B856" s="64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2.75" customHeight="1">
      <c r="A857" s="71"/>
      <c r="B857" s="64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2.75" customHeight="1">
      <c r="A858" s="71"/>
      <c r="B858" s="64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2.75" customHeight="1">
      <c r="A859" s="71"/>
      <c r="B859" s="64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2.75" customHeight="1">
      <c r="A860" s="71"/>
      <c r="B860" s="64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2.75" customHeight="1">
      <c r="A861" s="71"/>
      <c r="B861" s="64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2.75" customHeight="1">
      <c r="A862" s="71"/>
      <c r="B862" s="64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2.75" customHeight="1">
      <c r="A863" s="71"/>
      <c r="B863" s="64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2.75" customHeight="1">
      <c r="A864" s="71"/>
      <c r="B864" s="64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2.75" customHeight="1">
      <c r="A865" s="71"/>
      <c r="B865" s="64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2.75" customHeight="1">
      <c r="A866" s="71"/>
      <c r="B866" s="64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2.75" customHeight="1">
      <c r="A867" s="71"/>
      <c r="B867" s="64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2.75" customHeight="1">
      <c r="A868" s="71"/>
      <c r="B868" s="64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2.75" customHeight="1">
      <c r="A869" s="71"/>
      <c r="B869" s="64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2.75" customHeight="1">
      <c r="A870" s="71"/>
      <c r="B870" s="64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2.75" customHeight="1">
      <c r="A871" s="71"/>
      <c r="B871" s="64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2.75" customHeight="1">
      <c r="A872" s="71"/>
      <c r="B872" s="64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2.75" customHeight="1">
      <c r="A873" s="71"/>
      <c r="B873" s="64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2.75" customHeight="1">
      <c r="A874" s="71"/>
      <c r="B874" s="64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2.75" customHeight="1">
      <c r="A875" s="71"/>
      <c r="B875" s="64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2.75" customHeight="1">
      <c r="A876" s="71"/>
      <c r="B876" s="64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2.75" customHeight="1">
      <c r="A877" s="71"/>
      <c r="B877" s="64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2.75" customHeight="1">
      <c r="A878" s="71"/>
      <c r="B878" s="64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2.75" customHeight="1">
      <c r="A879" s="71"/>
      <c r="B879" s="64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2.75" customHeight="1">
      <c r="A880" s="71"/>
      <c r="B880" s="64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2.75" customHeight="1">
      <c r="A881" s="71"/>
      <c r="B881" s="64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2.75" customHeight="1">
      <c r="A882" s="71"/>
      <c r="B882" s="64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2.75" customHeight="1">
      <c r="A883" s="71"/>
      <c r="B883" s="64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2.75" customHeight="1">
      <c r="A884" s="71"/>
      <c r="B884" s="64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2.75" customHeight="1">
      <c r="A885" s="71"/>
      <c r="B885" s="64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2.75" customHeight="1">
      <c r="A886" s="71"/>
      <c r="B886" s="64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2.75" customHeight="1">
      <c r="A887" s="71"/>
      <c r="B887" s="64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2.75" customHeight="1">
      <c r="A888" s="71"/>
      <c r="B888" s="64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2.75" customHeight="1">
      <c r="A889" s="71"/>
      <c r="B889" s="64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2.75" customHeight="1">
      <c r="A890" s="71"/>
      <c r="B890" s="64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2.75" customHeight="1">
      <c r="A891" s="71"/>
      <c r="B891" s="64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2.75" customHeight="1">
      <c r="A892" s="71"/>
      <c r="B892" s="64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2.75" customHeight="1">
      <c r="A893" s="71"/>
      <c r="B893" s="64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2.75" customHeight="1">
      <c r="A894" s="71"/>
      <c r="B894" s="64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2.75" customHeight="1">
      <c r="A895" s="71"/>
      <c r="B895" s="64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2.75" customHeight="1">
      <c r="A896" s="71"/>
      <c r="B896" s="64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2.75" customHeight="1">
      <c r="A897" s="71"/>
      <c r="B897" s="64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2.75" customHeight="1">
      <c r="A898" s="71"/>
      <c r="B898" s="64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2.75" customHeight="1">
      <c r="A899" s="71"/>
      <c r="B899" s="64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2.75" customHeight="1">
      <c r="A900" s="71"/>
      <c r="B900" s="64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2.75" customHeight="1">
      <c r="A901" s="71"/>
      <c r="B901" s="64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2.75" customHeight="1">
      <c r="A902" s="71"/>
      <c r="B902" s="64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2.75" customHeight="1">
      <c r="A903" s="71"/>
      <c r="B903" s="64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2.75" customHeight="1">
      <c r="A904" s="71"/>
      <c r="B904" s="64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2.75" customHeight="1">
      <c r="A905" s="71"/>
      <c r="B905" s="64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2.75" customHeight="1">
      <c r="A906" s="71"/>
      <c r="B906" s="64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2.75" customHeight="1">
      <c r="A907" s="71"/>
      <c r="B907" s="64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2.75" customHeight="1">
      <c r="A908" s="71"/>
      <c r="B908" s="64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2.75" customHeight="1">
      <c r="A909" s="71"/>
      <c r="B909" s="64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2.75" customHeight="1">
      <c r="A910" s="71"/>
      <c r="B910" s="64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2.75" customHeight="1">
      <c r="A911" s="71"/>
      <c r="B911" s="64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2.75" customHeight="1">
      <c r="A912" s="71"/>
      <c r="B912" s="64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2.75" customHeight="1">
      <c r="A913" s="71"/>
      <c r="B913" s="64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2.75" customHeight="1">
      <c r="A914" s="71"/>
      <c r="B914" s="64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2.75" customHeight="1">
      <c r="A915" s="71"/>
      <c r="B915" s="64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2.75" customHeight="1">
      <c r="A916" s="71"/>
      <c r="B916" s="64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2.75" customHeight="1">
      <c r="A917" s="71"/>
      <c r="B917" s="64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2.75" customHeight="1">
      <c r="A918" s="71"/>
      <c r="B918" s="64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2.75" customHeight="1">
      <c r="A919" s="71"/>
      <c r="B919" s="64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2.75" customHeight="1">
      <c r="A920" s="71"/>
      <c r="B920" s="64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2.75" customHeight="1">
      <c r="A921" s="71"/>
      <c r="B921" s="64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2.75" customHeight="1">
      <c r="A922" s="71"/>
      <c r="B922" s="64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2.75" customHeight="1">
      <c r="A923" s="71"/>
      <c r="B923" s="64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2.75" customHeight="1">
      <c r="A924" s="71"/>
      <c r="B924" s="64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2.75" customHeight="1">
      <c r="A925" s="71"/>
      <c r="B925" s="64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2.75" customHeight="1">
      <c r="A926" s="71"/>
      <c r="B926" s="64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2.75" customHeight="1">
      <c r="A927" s="71"/>
      <c r="B927" s="64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2.75" customHeight="1">
      <c r="A928" s="71"/>
      <c r="B928" s="64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2.75" customHeight="1">
      <c r="A929" s="71"/>
      <c r="B929" s="64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2.75" customHeight="1">
      <c r="A930" s="71"/>
      <c r="B930" s="64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2.75" customHeight="1">
      <c r="A931" s="71"/>
      <c r="B931" s="64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2.75" customHeight="1">
      <c r="A932" s="71"/>
      <c r="B932" s="64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2.75" customHeight="1">
      <c r="A933" s="71"/>
      <c r="B933" s="64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2.75" customHeight="1">
      <c r="A934" s="71"/>
      <c r="B934" s="64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2.75" customHeight="1">
      <c r="A935" s="71"/>
      <c r="B935" s="64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2.75" customHeight="1">
      <c r="A936" s="71"/>
      <c r="B936" s="64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2.75" customHeight="1">
      <c r="A937" s="71"/>
      <c r="B937" s="64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2.75" customHeight="1">
      <c r="A938" s="71"/>
      <c r="B938" s="64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2.75" customHeight="1">
      <c r="A939" s="71"/>
      <c r="B939" s="64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2.75" customHeight="1">
      <c r="A940" s="71"/>
      <c r="B940" s="64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2.75" customHeight="1">
      <c r="A941" s="71"/>
      <c r="B941" s="64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2.75" customHeight="1">
      <c r="A942" s="71"/>
      <c r="B942" s="64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2.75" customHeight="1">
      <c r="A943" s="71"/>
      <c r="B943" s="64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2.75" customHeight="1">
      <c r="A944" s="71"/>
      <c r="B944" s="64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2.75" customHeight="1">
      <c r="A945" s="71"/>
      <c r="B945" s="64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2.75" customHeight="1">
      <c r="A946" s="71"/>
      <c r="B946" s="64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2.75" customHeight="1">
      <c r="A947" s="71"/>
      <c r="B947" s="64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2.75" customHeight="1">
      <c r="A948" s="71"/>
      <c r="B948" s="64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2.75" customHeight="1">
      <c r="A949" s="71"/>
      <c r="B949" s="64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2.75" customHeight="1">
      <c r="A950" s="71"/>
      <c r="B950" s="64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2.75" customHeight="1">
      <c r="A951" s="71"/>
      <c r="B951" s="64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2.75" customHeight="1">
      <c r="A952" s="71"/>
      <c r="B952" s="64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2.75" customHeight="1">
      <c r="A953" s="71"/>
      <c r="B953" s="64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2.75" customHeight="1">
      <c r="A954" s="71"/>
      <c r="B954" s="64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2.75" customHeight="1">
      <c r="A955" s="71"/>
      <c r="B955" s="64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2.75" customHeight="1">
      <c r="A956" s="71"/>
      <c r="B956" s="64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2.75" customHeight="1">
      <c r="A957" s="71"/>
      <c r="B957" s="64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2.75" customHeight="1">
      <c r="A958" s="71"/>
      <c r="B958" s="64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2.75" customHeight="1">
      <c r="A959" s="71"/>
      <c r="B959" s="64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2.75" customHeight="1">
      <c r="A960" s="71"/>
      <c r="B960" s="64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2.75" customHeight="1">
      <c r="A961" s="71"/>
      <c r="B961" s="64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2.75" customHeight="1">
      <c r="A962" s="71"/>
      <c r="B962" s="64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2.75" customHeight="1">
      <c r="A963" s="71"/>
      <c r="B963" s="64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2.75" customHeight="1">
      <c r="A964" s="71"/>
      <c r="B964" s="64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2.75" customHeight="1">
      <c r="A965" s="71"/>
      <c r="B965" s="64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2.75" customHeight="1">
      <c r="A966" s="71"/>
      <c r="B966" s="64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2.75" customHeight="1">
      <c r="A967" s="71"/>
      <c r="B967" s="64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2.75" customHeight="1">
      <c r="A968" s="71"/>
      <c r="B968" s="64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2.75" customHeight="1">
      <c r="A969" s="71"/>
      <c r="B969" s="64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2.75" customHeight="1">
      <c r="A970" s="71"/>
      <c r="B970" s="64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2.75" customHeight="1">
      <c r="A971" s="71"/>
      <c r="B971" s="64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2.75" customHeight="1">
      <c r="A972" s="71"/>
      <c r="B972" s="64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2.75" customHeight="1">
      <c r="A973" s="71"/>
      <c r="B973" s="64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2.75" customHeight="1">
      <c r="A974" s="71"/>
      <c r="B974" s="64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2.75" customHeight="1">
      <c r="A975" s="71"/>
      <c r="B975" s="64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2.75" customHeight="1">
      <c r="A976" s="71"/>
      <c r="B976" s="64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2.75" customHeight="1">
      <c r="A977" s="71"/>
      <c r="B977" s="64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2.75" customHeight="1">
      <c r="A978" s="71"/>
      <c r="B978" s="64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2.75" customHeight="1">
      <c r="A979" s="71"/>
      <c r="B979" s="64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2.75" customHeight="1">
      <c r="A980" s="71"/>
      <c r="B980" s="64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2.75" customHeight="1">
      <c r="A981" s="71"/>
      <c r="B981" s="64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2.75" customHeight="1">
      <c r="A982" s="71"/>
      <c r="B982" s="64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2.75" customHeight="1">
      <c r="A983" s="71"/>
      <c r="B983" s="64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2.75" customHeight="1">
      <c r="A984" s="71"/>
      <c r="B984" s="64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2.75" customHeight="1">
      <c r="A985" s="71"/>
      <c r="B985" s="64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2.75" customHeight="1">
      <c r="A986" s="71"/>
      <c r="B986" s="64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2.75" customHeight="1">
      <c r="A987" s="71"/>
      <c r="B987" s="64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2.75" customHeight="1">
      <c r="A988" s="71"/>
      <c r="B988" s="64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2.75" customHeight="1">
      <c r="A989" s="71"/>
      <c r="B989" s="64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2.75" customHeight="1">
      <c r="A990" s="71"/>
      <c r="B990" s="64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2.75" customHeight="1">
      <c r="A991" s="71"/>
      <c r="B991" s="64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2.75" customHeight="1">
      <c r="A992" s="71"/>
      <c r="B992" s="64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2.75" customHeight="1">
      <c r="A993" s="71"/>
      <c r="B993" s="64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2.75" customHeight="1">
      <c r="A994" s="71"/>
      <c r="B994" s="64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2.75" customHeight="1">
      <c r="A995" s="71"/>
      <c r="B995" s="64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2.75" customHeight="1">
      <c r="A996" s="71"/>
      <c r="B996" s="64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2.75" customHeight="1">
      <c r="A997" s="71"/>
      <c r="B997" s="64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2.75" customHeight="1">
      <c r="A998" s="71"/>
      <c r="B998" s="64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2.75" customHeight="1">
      <c r="A999" s="71"/>
      <c r="B999" s="64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2.75" customHeight="1"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autoFilter ref="$A$2:$E$220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6 H3:H8">
    <cfRule type="containsText" dxfId="0" priority="3" operator="containsText" text="Done">
      <formula>NOT(ISERROR(SEARCH(("Done"),(D3))))</formula>
    </cfRule>
  </conditionalFormatting>
  <conditionalFormatting sqref="D3:D16 H3:H8">
    <cfRule type="containsText" dxfId="1" priority="4" operator="containsText" text="In Progress">
      <formula>NOT(ISERROR(SEARCH(("In Progress"),(D3))))</formula>
    </cfRule>
  </conditionalFormatting>
  <conditionalFormatting sqref="D3:D16 H3:H8">
    <cfRule type="containsText" dxfId="11" priority="5" operator="containsText" text="Not Started">
      <formula>NOT(ISERROR(SEARCH(("Not Started"),(D3))))</formula>
    </cfRule>
  </conditionalFormatting>
  <conditionalFormatting sqref="D3:D16 H3:H8">
    <cfRule type="containsText" dxfId="3" priority="6" operator="containsText" text="NA">
      <formula>NOT(ISERROR(SEARCH(("NA"),(D3))))</formula>
    </cfRule>
  </conditionalFormatting>
  <conditionalFormatting sqref="D3:D16 H7">
    <cfRule type="containsText" dxfId="12" priority="7" operator="containsText" text="Issue Triggered">
      <formula>NOT(ISERROR(SEARCH(("Issue Triggered"),(D3))))</formula>
    </cfRule>
  </conditionalFormatting>
  <conditionalFormatting sqref="D3:D1000 H3:H8">
    <cfRule type="containsText" dxfId="13" priority="8" operator="containsText" text="PASS">
      <formula>NOT(ISERROR(SEARCH(("PASS"),(D3))))</formula>
    </cfRule>
  </conditionalFormatting>
  <conditionalFormatting sqref="D3:D1000 H3:H8">
    <cfRule type="containsText" dxfId="14" priority="9" operator="containsText" text="CHECK">
      <formula>NOT(ISERROR(SEARCH(("CHECK"),(D3))))</formula>
    </cfRule>
  </conditionalFormatting>
  <conditionalFormatting sqref="D3:D1000 H3:H8">
    <cfRule type="containsText" dxfId="15" priority="10" operator="containsText" text="PROBLEM">
      <formula>NOT(ISERROR(SEARCH(("PROBLEM"),(D3))))</formula>
    </cfRule>
  </conditionalFormatting>
  <conditionalFormatting sqref="D3:D1000 H3:H8">
    <cfRule type="containsText" dxfId="16" priority="11" operator="containsText" text="NOT CHECKED">
      <formula>NOT(ISERROR(SEARCH(("NOT CHECKED"),(D3))))</formula>
    </cfRule>
  </conditionalFormatting>
  <conditionalFormatting sqref="D3:D1000 H3:H8">
    <cfRule type="containsText" dxfId="17" priority="12" operator="containsText" text="NOT USED">
      <formula>NOT(ISERROR(SEARCH(("NOT USED"),(D3))))</formula>
    </cfRule>
  </conditionalFormatting>
  <conditionalFormatting sqref="D3:D1000 H3:H8">
    <cfRule type="containsText" dxfId="18" priority="13" operator="containsText" text="N/A">
      <formula>NOT(ISERROR(SEARCH(("N/A"),(D3))))</formula>
    </cfRule>
  </conditionalFormatting>
  <dataValidations>
    <dataValidation type="list" allowBlank="1" showInputMessage="1" showErrorMessage="1" prompt="Select Status" sqref="D3:D16">
      <formula1>"Done,In Progress,Issue Triggered,Not Started,NA"</formula1>
    </dataValidation>
    <dataValidation type="list" allowBlank="1" showInputMessage="1" showErrorMessage="1" prompt="Select values from dropdown list" sqref="D17:D999">
      <formula1>"PASS,CHECK,PROBLEM,NOT CHECKED,NOT USED,N/A"</formula1>
    </dataValidation>
  </dataValidations>
  <hyperlinks>
    <hyperlink r:id="rId1" ref="A2"/>
    <hyperlink display="Previous Page" location="Symbol!A1" ref="G11"/>
    <hyperlink display="Home" location="Overview!A1" ref="G12"/>
    <hyperlink display="Next" location="'Mounting Holes'!A1" ref="G1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2.13"/>
    <col customWidth="1" min="3" max="3" width="38.13"/>
    <col customWidth="1" min="4" max="4" width="15.63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87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73" t="s">
        <v>88</v>
      </c>
      <c r="C3" s="40"/>
      <c r="D3" s="41" t="s">
        <v>62</v>
      </c>
      <c r="E3" s="42"/>
      <c r="G3" s="43">
        <f>COUNTIF(D:D,"Done")</f>
        <v>2</v>
      </c>
      <c r="H3" s="41" t="s">
        <v>62</v>
      </c>
    </row>
    <row r="4" ht="12.75" customHeight="1">
      <c r="A4" s="44">
        <v>2.0</v>
      </c>
      <c r="B4" s="73" t="s">
        <v>89</v>
      </c>
      <c r="C4" s="40"/>
      <c r="D4" s="41" t="s">
        <v>62</v>
      </c>
      <c r="E4" s="42"/>
      <c r="G4" s="43">
        <f>COUNTIF(D:D,"In Progress")</f>
        <v>0</v>
      </c>
      <c r="H4" s="41" t="s">
        <v>64</v>
      </c>
    </row>
    <row r="5" ht="12.75" customHeight="1">
      <c r="A5" s="44"/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/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/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/>
      <c r="B8" s="40"/>
      <c r="C8" s="40"/>
      <c r="D8" s="41"/>
      <c r="E8" s="42"/>
      <c r="G8" s="43">
        <f>COUNTIF(B3:B1005,"&lt;&gt;")</f>
        <v>2</v>
      </c>
      <c r="H8" s="49" t="s">
        <v>70</v>
      </c>
    </row>
    <row r="9" ht="12.75" customHeight="1">
      <c r="A9" s="44"/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/>
      <c r="B10" s="40"/>
      <c r="C10" s="40"/>
      <c r="D10" s="41"/>
      <c r="E10" s="42"/>
      <c r="G10" s="35"/>
      <c r="H10" s="35"/>
    </row>
    <row r="11" ht="12.75" customHeight="1">
      <c r="A11" s="39"/>
      <c r="B11" s="40"/>
      <c r="C11" s="40"/>
      <c r="D11" s="41"/>
      <c r="E11" s="42"/>
      <c r="G11" s="67" t="s">
        <v>75</v>
      </c>
      <c r="H11" s="6"/>
    </row>
    <row r="12" ht="12.75" customHeight="1">
      <c r="A12" s="44"/>
      <c r="B12" s="40"/>
      <c r="C12" s="40"/>
      <c r="D12" s="41"/>
      <c r="E12" s="42"/>
      <c r="G12" s="53" t="s">
        <v>77</v>
      </c>
      <c r="H12" s="54"/>
    </row>
    <row r="13" ht="12.75" customHeight="1">
      <c r="A13" s="44"/>
      <c r="B13" s="45"/>
      <c r="C13" s="40"/>
      <c r="D13" s="41"/>
      <c r="E13" s="42"/>
      <c r="G13" s="5" t="s">
        <v>79</v>
      </c>
      <c r="H13" s="6"/>
    </row>
    <row r="14" ht="12.75" customHeight="1">
      <c r="A14" s="44"/>
      <c r="B14" s="45"/>
      <c r="C14" s="40"/>
      <c r="D14" s="41"/>
      <c r="E14" s="42"/>
    </row>
    <row r="15" ht="12.75" customHeight="1">
      <c r="A15" s="39"/>
      <c r="B15" s="45"/>
      <c r="C15" s="40"/>
      <c r="D15" s="41"/>
      <c r="E15" s="42"/>
    </row>
    <row r="16" ht="12.75" customHeight="1">
      <c r="A16" s="44"/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8">
    <cfRule type="containsText" dxfId="0" priority="3" operator="containsText" text="Done">
      <formula>NOT(ISERROR(SEARCH(("Done"),(D3))))</formula>
    </cfRule>
  </conditionalFormatting>
  <conditionalFormatting sqref="D3:D1005 H3:H8">
    <cfRule type="containsText" dxfId="1" priority="4" operator="containsText" text="In Progress">
      <formula>NOT(ISERROR(SEARCH(("In Progress"),(D3))))</formula>
    </cfRule>
  </conditionalFormatting>
  <conditionalFormatting sqref="D3:D1005 H3:H8">
    <cfRule type="containsText" dxfId="11" priority="5" operator="containsText" text="Not Started">
      <formula>NOT(ISERROR(SEARCH(("Not Started"),(D3))))</formula>
    </cfRule>
  </conditionalFormatting>
  <conditionalFormatting sqref="D3:D1005 H3:H8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8 D4:D10 D12:D1005">
    <cfRule type="containsText" dxfId="13" priority="8" operator="containsText" text="PASS">
      <formula>NOT(ISERROR(SEARCH(("PASS"),(D2))))</formula>
    </cfRule>
  </conditionalFormatting>
  <conditionalFormatting sqref="D2 H3:H8 D4:D10 D12:D1005">
    <cfRule type="containsText" dxfId="14" priority="9" operator="containsText" text="CHECK">
      <formula>NOT(ISERROR(SEARCH(("CHECK"),(D2))))</formula>
    </cfRule>
  </conditionalFormatting>
  <conditionalFormatting sqref="D2 H3:H8 D4:D10 D12:D1005">
    <cfRule type="containsText" dxfId="15" priority="10" operator="containsText" text="PROBLEM">
      <formula>NOT(ISERROR(SEARCH(("PROBLEM"),(D2))))</formula>
    </cfRule>
  </conditionalFormatting>
  <conditionalFormatting sqref="D2 H3:H8 D4:D10 D12:D1005">
    <cfRule type="containsText" dxfId="16" priority="11" operator="containsText" text="NOT CHECKED">
      <formula>NOT(ISERROR(SEARCH(("NOT CHECKED"),(D2))))</formula>
    </cfRule>
  </conditionalFormatting>
  <conditionalFormatting sqref="D2 H3:H8 D4:D10 D12:D1005">
    <cfRule type="containsText" dxfId="17" priority="12" operator="containsText" text="NOT USED">
      <formula>NOT(ISERROR(SEARCH(("NOT USED"),(D2))))</formula>
    </cfRule>
  </conditionalFormatting>
  <conditionalFormatting sqref="D2 H3:H8 D4:D10 D12:D1005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 Page" location="'DNP Parts'!A1" ref="G11"/>
    <hyperlink display="Home" location="Overview!A1" ref="G12"/>
    <hyperlink display="Next" location="'Power Supply'!A1" ref="G13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4.75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 t="s">
        <v>90</v>
      </c>
      <c r="C3" s="40"/>
      <c r="D3" s="41" t="s">
        <v>62</v>
      </c>
      <c r="E3" s="42"/>
      <c r="G3" s="43">
        <f>COUNTIF(D:D,"Done")</f>
        <v>28</v>
      </c>
      <c r="H3" s="41" t="s">
        <v>62</v>
      </c>
    </row>
    <row r="4" ht="12.75" customHeight="1">
      <c r="A4" s="44">
        <v>2.0</v>
      </c>
      <c r="B4" s="75" t="s">
        <v>91</v>
      </c>
      <c r="C4" s="40"/>
      <c r="D4" s="41" t="s">
        <v>62</v>
      </c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 t="s">
        <v>92</v>
      </c>
      <c r="C5" s="40"/>
      <c r="D5" s="41" t="s">
        <v>62</v>
      </c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75" t="s">
        <v>93</v>
      </c>
      <c r="C6" s="40"/>
      <c r="D6" s="41" t="s">
        <v>62</v>
      </c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 t="s">
        <v>94</v>
      </c>
      <c r="C7" s="40"/>
      <c r="D7" s="41" t="s">
        <v>62</v>
      </c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 t="s">
        <v>95</v>
      </c>
      <c r="C8" s="40"/>
      <c r="D8" s="41" t="s">
        <v>62</v>
      </c>
      <c r="E8" s="42"/>
      <c r="G8" s="43">
        <f>COUNTIF(B3:B1005,"&lt;&gt;")</f>
        <v>28</v>
      </c>
      <c r="H8" s="49" t="s">
        <v>70</v>
      </c>
    </row>
    <row r="9" ht="12.75" customHeight="1">
      <c r="A9" s="44">
        <v>7.0</v>
      </c>
      <c r="B9" s="40" t="s">
        <v>96</v>
      </c>
      <c r="C9" s="40"/>
      <c r="D9" s="41" t="s">
        <v>62</v>
      </c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 t="s">
        <v>97</v>
      </c>
      <c r="C10" s="40"/>
      <c r="D10" s="41" t="s">
        <v>62</v>
      </c>
      <c r="E10" s="42"/>
      <c r="G10" s="35"/>
      <c r="H10" s="35"/>
    </row>
    <row r="11" ht="12.75" customHeight="1">
      <c r="A11" s="39">
        <v>9.0</v>
      </c>
      <c r="B11" s="40" t="s">
        <v>98</v>
      </c>
      <c r="C11" s="40"/>
      <c r="D11" s="41" t="s">
        <v>62</v>
      </c>
      <c r="E11" s="42"/>
      <c r="G11" s="67" t="s">
        <v>75</v>
      </c>
      <c r="H11" s="6"/>
    </row>
    <row r="12" ht="12.75" customHeight="1">
      <c r="A12" s="44">
        <v>10.0</v>
      </c>
      <c r="B12" s="40" t="s">
        <v>99</v>
      </c>
      <c r="C12" s="40"/>
      <c r="D12" s="41" t="s">
        <v>62</v>
      </c>
      <c r="E12" s="42"/>
      <c r="G12" s="53" t="s">
        <v>77</v>
      </c>
      <c r="H12" s="54"/>
    </row>
    <row r="13" ht="12.75" customHeight="1">
      <c r="A13" s="44">
        <v>11.0</v>
      </c>
      <c r="B13" s="75" t="s">
        <v>100</v>
      </c>
      <c r="C13" s="40"/>
      <c r="D13" s="41" t="s">
        <v>62</v>
      </c>
      <c r="E13" s="42"/>
      <c r="G13" s="5" t="s">
        <v>79</v>
      </c>
      <c r="H13" s="6"/>
    </row>
    <row r="14" ht="12.75" customHeight="1">
      <c r="A14" s="44">
        <v>12.0</v>
      </c>
      <c r="B14" s="75" t="s">
        <v>101</v>
      </c>
      <c r="C14" s="40"/>
      <c r="D14" s="41" t="s">
        <v>62</v>
      </c>
      <c r="E14" s="42"/>
    </row>
    <row r="15" ht="12.75" customHeight="1">
      <c r="A15" s="39">
        <v>13.0</v>
      </c>
      <c r="B15" s="75" t="s">
        <v>102</v>
      </c>
      <c r="C15" s="40"/>
      <c r="D15" s="41" t="s">
        <v>62</v>
      </c>
      <c r="E15" s="42"/>
    </row>
    <row r="16" ht="12.75" customHeight="1">
      <c r="A16" s="44">
        <v>14.0</v>
      </c>
      <c r="B16" s="75" t="s">
        <v>103</v>
      </c>
      <c r="C16" s="40"/>
      <c r="D16" s="41" t="s">
        <v>62</v>
      </c>
      <c r="E16" s="42"/>
    </row>
    <row r="17" ht="12.75" customHeight="1">
      <c r="A17" s="39"/>
      <c r="B17" s="40" t="s">
        <v>104</v>
      </c>
      <c r="C17" s="40"/>
      <c r="D17" s="41" t="s">
        <v>62</v>
      </c>
      <c r="E17" s="42"/>
      <c r="G17" s="74" t="s">
        <v>86</v>
      </c>
    </row>
    <row r="18" ht="12.75" customHeight="1">
      <c r="A18" s="39"/>
      <c r="B18" s="35" t="s">
        <v>105</v>
      </c>
      <c r="C18" s="40"/>
      <c r="D18" s="41" t="s">
        <v>62</v>
      </c>
      <c r="E18" s="42"/>
    </row>
    <row r="19" ht="12.75" customHeight="1">
      <c r="A19" s="55"/>
      <c r="B19" s="56" t="s">
        <v>106</v>
      </c>
      <c r="C19" s="56"/>
      <c r="D19" s="41" t="s">
        <v>62</v>
      </c>
      <c r="E19" s="57"/>
    </row>
    <row r="20" ht="12.75" customHeight="1">
      <c r="A20" s="39"/>
      <c r="B20" s="40" t="s">
        <v>107</v>
      </c>
      <c r="C20" s="40"/>
      <c r="D20" s="41" t="s">
        <v>62</v>
      </c>
      <c r="E20" s="42"/>
    </row>
    <row r="21" ht="12.75" customHeight="1">
      <c r="A21" s="39"/>
      <c r="B21" s="40" t="s">
        <v>108</v>
      </c>
      <c r="C21" s="40"/>
      <c r="D21" s="41" t="s">
        <v>62</v>
      </c>
      <c r="E21" s="42"/>
    </row>
    <row r="22" ht="12.75" customHeight="1">
      <c r="A22" s="39"/>
      <c r="B22" s="40" t="s">
        <v>109</v>
      </c>
      <c r="C22" s="40"/>
      <c r="D22" s="41" t="s">
        <v>62</v>
      </c>
      <c r="E22" s="42"/>
    </row>
    <row r="23" ht="12.75" customHeight="1">
      <c r="A23" s="39"/>
      <c r="B23" s="40" t="s">
        <v>110</v>
      </c>
      <c r="C23" s="40"/>
      <c r="D23" s="41" t="s">
        <v>62</v>
      </c>
      <c r="E23" s="42"/>
    </row>
    <row r="24" ht="12.75" customHeight="1">
      <c r="A24" s="39"/>
      <c r="B24" s="75" t="s">
        <v>111</v>
      </c>
      <c r="C24" s="40"/>
      <c r="D24" s="41" t="s">
        <v>62</v>
      </c>
      <c r="E24" s="42"/>
    </row>
    <row r="25" ht="12.75" customHeight="1">
      <c r="A25" s="39"/>
      <c r="B25" s="40" t="s">
        <v>112</v>
      </c>
      <c r="C25" s="40"/>
      <c r="D25" s="41" t="s">
        <v>62</v>
      </c>
      <c r="E25" s="42"/>
    </row>
    <row r="26" ht="12.75" customHeight="1">
      <c r="A26" s="39"/>
      <c r="B26" s="40" t="s">
        <v>113</v>
      </c>
      <c r="C26" s="40"/>
      <c r="D26" s="41" t="s">
        <v>62</v>
      </c>
      <c r="E26" s="42"/>
    </row>
    <row r="27" ht="12.75" customHeight="1">
      <c r="A27" s="58"/>
      <c r="B27" s="40" t="s">
        <v>114</v>
      </c>
      <c r="C27" s="40"/>
      <c r="D27" s="41" t="s">
        <v>62</v>
      </c>
      <c r="E27" s="42"/>
    </row>
    <row r="28" ht="12.75" customHeight="1">
      <c r="A28" s="39"/>
      <c r="B28" s="40" t="s">
        <v>115</v>
      </c>
      <c r="C28" s="40"/>
      <c r="D28" s="41" t="s">
        <v>62</v>
      </c>
      <c r="E28" s="42"/>
    </row>
    <row r="29" ht="12.75" customHeight="1">
      <c r="A29" s="39"/>
      <c r="B29" s="40" t="s">
        <v>116</v>
      </c>
      <c r="C29" s="40"/>
      <c r="D29" s="41" t="s">
        <v>62</v>
      </c>
      <c r="E29" s="42"/>
    </row>
    <row r="30" ht="12.75" customHeight="1">
      <c r="A30" s="39"/>
      <c r="B30" s="40" t="s">
        <v>117</v>
      </c>
      <c r="C30" s="40"/>
      <c r="D30" s="41" t="s">
        <v>62</v>
      </c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32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31 D33:D1005">
    <cfRule type="containsText" dxfId="13" priority="8" operator="containsText" text="PASS">
      <formula>NOT(ISERROR(SEARCH(("PASS"),(D2))))</formula>
    </cfRule>
  </conditionalFormatting>
  <conditionalFormatting sqref="D2 H3:H9 D4:D31 D33:D1005">
    <cfRule type="containsText" dxfId="14" priority="9" operator="containsText" text="CHECK">
      <formula>NOT(ISERROR(SEARCH(("CHECK"),(D2))))</formula>
    </cfRule>
  </conditionalFormatting>
  <conditionalFormatting sqref="D2 H3:H9 D4:D31 D33:D1005">
    <cfRule type="containsText" dxfId="15" priority="10" operator="containsText" text="PROBLEM">
      <formula>NOT(ISERROR(SEARCH(("PROBLEM"),(D2))))</formula>
    </cfRule>
  </conditionalFormatting>
  <conditionalFormatting sqref="D2 H3:H9 D4:D31 D33:D1005">
    <cfRule type="containsText" dxfId="16" priority="11" operator="containsText" text="NOT CHECKED">
      <formula>NOT(ISERROR(SEARCH(("NOT CHECKED"),(D2))))</formula>
    </cfRule>
  </conditionalFormatting>
  <conditionalFormatting sqref="D2 H3:H9 D4:D31 D33:D1005">
    <cfRule type="containsText" dxfId="17" priority="12" operator="containsText" text="NOT USED">
      <formula>NOT(ISERROR(SEARCH(("NOT USED"),(D2))))</formula>
    </cfRule>
  </conditionalFormatting>
  <conditionalFormatting sqref="D2 H3:H9 D4:D31 D33:D1005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 Page" location="'Mounting Holes'!A1" ref="G11"/>
    <hyperlink display="Home" location="Overview!A1" ref="G12"/>
    <hyperlink display="Next" location="'Power Simulation'!A1" ref="G13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3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76" t="s">
        <v>118</v>
      </c>
      <c r="C3" s="40"/>
      <c r="D3" s="41" t="s">
        <v>62</v>
      </c>
      <c r="E3" s="42"/>
      <c r="G3" s="43">
        <f>COUNTIF(D:D,"Done")</f>
        <v>8</v>
      </c>
      <c r="H3" s="41" t="s">
        <v>62</v>
      </c>
    </row>
    <row r="4" ht="12.75" customHeight="1">
      <c r="A4" s="44">
        <v>2.0</v>
      </c>
      <c r="B4" s="77" t="s">
        <v>119</v>
      </c>
      <c r="C4" s="40"/>
      <c r="D4" s="41" t="s">
        <v>62</v>
      </c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78" t="s">
        <v>120</v>
      </c>
      <c r="C5" s="40"/>
      <c r="D5" s="41" t="s">
        <v>62</v>
      </c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77" t="s">
        <v>121</v>
      </c>
      <c r="C6" s="40"/>
      <c r="D6" s="41" t="s">
        <v>62</v>
      </c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78" t="s">
        <v>122</v>
      </c>
      <c r="C7" s="40"/>
      <c r="D7" s="41" t="s">
        <v>62</v>
      </c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78" t="s">
        <v>123</v>
      </c>
      <c r="C8" s="40"/>
      <c r="D8" s="41" t="s">
        <v>62</v>
      </c>
      <c r="E8" s="42"/>
      <c r="G8" s="43">
        <f>COUNTIF(B3:B1005,"&lt;&gt;")</f>
        <v>8</v>
      </c>
      <c r="H8" s="49" t="s">
        <v>70</v>
      </c>
    </row>
    <row r="9" ht="26.25" customHeight="1">
      <c r="A9" s="44">
        <v>7.0</v>
      </c>
      <c r="B9" s="78" t="s">
        <v>124</v>
      </c>
      <c r="C9" s="40"/>
      <c r="D9" s="41" t="s">
        <v>62</v>
      </c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78" t="s">
        <v>125</v>
      </c>
      <c r="C10" s="40"/>
      <c r="D10" s="41" t="s">
        <v>62</v>
      </c>
      <c r="E10" s="42"/>
      <c r="G10" s="35"/>
      <c r="H10" s="35"/>
    </row>
    <row r="11" ht="12.75" customHeight="1">
      <c r="A11" s="39">
        <v>9.0</v>
      </c>
      <c r="B11" s="40"/>
      <c r="C11" s="40"/>
      <c r="D11" s="41"/>
      <c r="E11" s="42"/>
      <c r="G11" s="67" t="s">
        <v>75</v>
      </c>
      <c r="H11" s="6"/>
    </row>
    <row r="12" ht="12.75" customHeight="1">
      <c r="A12" s="44">
        <v>10.0</v>
      </c>
      <c r="B12" s="40"/>
      <c r="C12" s="40"/>
      <c r="D12" s="41"/>
      <c r="E12" s="42"/>
      <c r="G12" s="53" t="s">
        <v>77</v>
      </c>
      <c r="H12" s="54"/>
    </row>
    <row r="13" ht="12.75" customHeight="1">
      <c r="A13" s="44">
        <v>11.0</v>
      </c>
      <c r="B13" s="45"/>
      <c r="C13" s="40"/>
      <c r="D13" s="41"/>
      <c r="E13" s="42"/>
      <c r="G13" s="5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0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10">
    <cfRule type="containsText" dxfId="0" priority="3" operator="containsText" text="Done">
      <formula>NOT(ISERROR(SEARCH(("Done"),(D3))))</formula>
    </cfRule>
  </conditionalFormatting>
  <conditionalFormatting sqref="D3:D1005 H3:H10">
    <cfRule type="containsText" dxfId="1" priority="4" operator="containsText" text="In Progress">
      <formula>NOT(ISERROR(SEARCH(("In Progress"),(D3))))</formula>
    </cfRule>
  </conditionalFormatting>
  <conditionalFormatting sqref="D3:D1005 H3:H10">
    <cfRule type="containsText" dxfId="11" priority="5" operator="containsText" text="Not Started">
      <formula>NOT(ISERROR(SEARCH(("Not Started"),(D3))))</formula>
    </cfRule>
  </conditionalFormatting>
  <conditionalFormatting sqref="D3:D1005 H3:H10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10 D4:D12 D14:D1005">
    <cfRule type="containsText" dxfId="13" priority="8" operator="containsText" text="PASS">
      <formula>NOT(ISERROR(SEARCH(("PASS"),(D2))))</formula>
    </cfRule>
  </conditionalFormatting>
  <conditionalFormatting sqref="D2 H3:H10 D4:D12 D14:D1005">
    <cfRule type="containsText" dxfId="14" priority="9" operator="containsText" text="CHECK">
      <formula>NOT(ISERROR(SEARCH(("CHECK"),(D2))))</formula>
    </cfRule>
  </conditionalFormatting>
  <conditionalFormatting sqref="D2 H3:H10 D4:D12 D14:D1005">
    <cfRule type="containsText" dxfId="15" priority="10" operator="containsText" text="PROBLEM">
      <formula>NOT(ISERROR(SEARCH(("PROBLEM"),(D2))))</formula>
    </cfRule>
  </conditionalFormatting>
  <conditionalFormatting sqref="D2 H3:H10 D4:D12 D14:D1005">
    <cfRule type="containsText" dxfId="16" priority="11" operator="containsText" text="NOT CHECKED">
      <formula>NOT(ISERROR(SEARCH(("NOT CHECKED"),(D2))))</formula>
    </cfRule>
  </conditionalFormatting>
  <conditionalFormatting sqref="D2 H3:H10 D4:D12 D14:D1005">
    <cfRule type="containsText" dxfId="17" priority="12" operator="containsText" text="NOT USED">
      <formula>NOT(ISERROR(SEARCH(("NOT USED"),(D2))))</formula>
    </cfRule>
  </conditionalFormatting>
  <conditionalFormatting sqref="D2 H3:H10 D4:D12 D14:D1005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 Page" location="'Power Supply'!A1" ref="G11"/>
    <hyperlink display="Home" location="Overview!A1" ref="G12"/>
    <hyperlink display="Next" location="'Test Points'!A1" ref="G13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3.0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76" t="s">
        <v>126</v>
      </c>
      <c r="C3" s="40"/>
      <c r="D3" s="41" t="s">
        <v>62</v>
      </c>
      <c r="E3" s="42"/>
      <c r="G3" s="43">
        <f>COUNTIF(D:D,"Done")</f>
        <v>5</v>
      </c>
      <c r="H3" s="41" t="s">
        <v>62</v>
      </c>
    </row>
    <row r="4" ht="12.75" customHeight="1">
      <c r="A4" s="44">
        <v>2.0</v>
      </c>
      <c r="B4" s="77" t="s">
        <v>127</v>
      </c>
      <c r="C4" s="40"/>
      <c r="D4" s="41" t="s">
        <v>62</v>
      </c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78" t="s">
        <v>128</v>
      </c>
      <c r="C5" s="40"/>
      <c r="D5" s="41" t="s">
        <v>62</v>
      </c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77" t="s">
        <v>129</v>
      </c>
      <c r="C6" s="40"/>
      <c r="D6" s="41" t="s">
        <v>62</v>
      </c>
      <c r="E6" s="42"/>
      <c r="G6" s="43">
        <f t="shared" ref="G6:G7" si="1">COUNTIF(D:D,"NA")</f>
        <v>0</v>
      </c>
      <c r="H6" s="47" t="s">
        <v>67</v>
      </c>
    </row>
    <row r="7" ht="12.75" customHeight="1">
      <c r="A7" s="39"/>
      <c r="B7" s="79" t="s">
        <v>130</v>
      </c>
      <c r="C7" s="40"/>
      <c r="D7" s="41" t="s">
        <v>62</v>
      </c>
      <c r="E7" s="42"/>
      <c r="G7" s="43">
        <f t="shared" si="1"/>
        <v>0</v>
      </c>
      <c r="H7" s="48" t="s">
        <v>61</v>
      </c>
    </row>
    <row r="8" ht="12.75" customHeight="1">
      <c r="A8" s="44"/>
      <c r="B8" s="40"/>
      <c r="C8" s="40"/>
      <c r="D8" s="41"/>
      <c r="E8" s="42"/>
      <c r="G8" s="43">
        <f>COUNTIF(B3:B1005,"&lt;&gt;")</f>
        <v>5</v>
      </c>
      <c r="H8" s="49" t="s">
        <v>70</v>
      </c>
    </row>
    <row r="9" ht="12.75" customHeight="1">
      <c r="A9" s="44"/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/>
      <c r="B10" s="40"/>
      <c r="C10" s="40"/>
      <c r="D10" s="41"/>
      <c r="E10" s="42"/>
      <c r="G10" s="35"/>
      <c r="H10" s="35"/>
    </row>
    <row r="11" ht="12.75" customHeight="1">
      <c r="A11" s="39"/>
      <c r="B11" s="40"/>
      <c r="C11" s="40"/>
      <c r="D11" s="41"/>
      <c r="E11" s="42"/>
      <c r="G11" s="67" t="s">
        <v>75</v>
      </c>
      <c r="H11" s="6"/>
    </row>
    <row r="12" ht="12.75" customHeight="1">
      <c r="A12" s="44"/>
      <c r="B12" s="40"/>
      <c r="C12" s="40"/>
      <c r="D12" s="41"/>
      <c r="E12" s="42"/>
      <c r="G12" s="53" t="s">
        <v>77</v>
      </c>
      <c r="H12" s="54"/>
    </row>
    <row r="13" ht="12.75" customHeight="1">
      <c r="A13" s="44"/>
      <c r="B13" s="45"/>
      <c r="C13" s="40"/>
      <c r="D13" s="41"/>
      <c r="E13" s="42"/>
      <c r="G13" s="5" t="s">
        <v>79</v>
      </c>
      <c r="H13" s="6"/>
    </row>
    <row r="14" ht="12.75" customHeight="1">
      <c r="A14" s="44"/>
      <c r="B14" s="45"/>
      <c r="C14" s="40"/>
      <c r="D14" s="41"/>
      <c r="E14" s="42"/>
    </row>
    <row r="15" ht="12.75" customHeight="1">
      <c r="A15" s="39"/>
      <c r="B15" s="45"/>
      <c r="C15" s="40"/>
      <c r="D15" s="41"/>
      <c r="E15" s="42"/>
    </row>
    <row r="16" ht="12.75" customHeight="1">
      <c r="A16" s="44"/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0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10 D12:D1005">
    <cfRule type="containsText" dxfId="13" priority="8" operator="containsText" text="PASS">
      <formula>NOT(ISERROR(SEARCH(("PASS"),(D2))))</formula>
    </cfRule>
  </conditionalFormatting>
  <conditionalFormatting sqref="D2 H3:H9 D4:D10 D12:D1005">
    <cfRule type="containsText" dxfId="14" priority="9" operator="containsText" text="CHECK">
      <formula>NOT(ISERROR(SEARCH(("CHECK"),(D2))))</formula>
    </cfRule>
  </conditionalFormatting>
  <conditionalFormatting sqref="D2 H3:H9 D4:D10 D12:D1005">
    <cfRule type="containsText" dxfId="15" priority="10" operator="containsText" text="PROBLEM">
      <formula>NOT(ISERROR(SEARCH(("PROBLEM"),(D2))))</formula>
    </cfRule>
  </conditionalFormatting>
  <conditionalFormatting sqref="D2 H3:H9 D4:D10 D12:D1005">
    <cfRule type="containsText" dxfId="16" priority="11" operator="containsText" text="NOT CHECKED">
      <formula>NOT(ISERROR(SEARCH(("NOT CHECKED"),(D2))))</formula>
    </cfRule>
  </conditionalFormatting>
  <conditionalFormatting sqref="D2 H3:H9 D4:D10 D12:D1005">
    <cfRule type="containsText" dxfId="17" priority="12" operator="containsText" text="NOT USED">
      <formula>NOT(ISERROR(SEARCH(("NOT USED"),(D2))))</formula>
    </cfRule>
  </conditionalFormatting>
  <conditionalFormatting sqref="D2 H3:H9 D4:D10 D12:D1005">
    <cfRule type="containsText" dxfId="18" priority="13" operator="containsText" text="N/A">
      <formula>NOT(ISERROR(SEARCH(("N/A"),(D2))))</formula>
    </cfRule>
  </conditionalFormatting>
  <conditionalFormatting sqref="D11">
    <cfRule type="containsText" dxfId="13" priority="14" operator="containsText" text="PASS">
      <formula>NOT(ISERROR(SEARCH(("PASS"),(D11))))</formula>
    </cfRule>
  </conditionalFormatting>
  <conditionalFormatting sqref="D11">
    <cfRule type="containsText" dxfId="14" priority="15" operator="containsText" text="CHECK">
      <formula>NOT(ISERROR(SEARCH(("CHECK"),(D11))))</formula>
    </cfRule>
  </conditionalFormatting>
  <conditionalFormatting sqref="D11">
    <cfRule type="containsText" dxfId="15" priority="16" operator="containsText" text="PROBLEM">
      <formula>NOT(ISERROR(SEARCH(("PROBLEM"),(D11))))</formula>
    </cfRule>
  </conditionalFormatting>
  <conditionalFormatting sqref="D11">
    <cfRule type="containsText" dxfId="16" priority="17" operator="containsText" text="NOT CHECKED">
      <formula>NOT(ISERROR(SEARCH(("NOT CHECKED"),(D11))))</formula>
    </cfRule>
  </conditionalFormatting>
  <conditionalFormatting sqref="D11">
    <cfRule type="containsText" dxfId="17" priority="18" operator="containsText" text="NOT USED">
      <formula>NOT(ISERROR(SEARCH(("NOT USED"),(D11))))</formula>
    </cfRule>
  </conditionalFormatting>
  <conditionalFormatting sqref="D11">
    <cfRule type="containsText" dxfId="18" priority="19" operator="containsText" text="N/A">
      <formula>NOT(ISERROR(SEARCH(("N/A"),(D11))))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Verify all the Test points list at Annexure-I" location="'Annexure-I'!A1" ref="B7"/>
    <hyperlink display="Previous Page" location="'Power Simulation'!A1" ref="G11"/>
    <hyperlink display="Home" location="Overview!A1" ref="G12"/>
    <hyperlink display="Next" location="'Power Simulation'!A1" ref="G13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2.13"/>
    <col customWidth="1" min="3" max="3" width="38.13"/>
    <col customWidth="1" min="4" max="4" width="15.63"/>
    <col customWidth="1" min="5" max="5" width="38.75"/>
    <col customWidth="1" min="6" max="6" width="3.88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76" t="s">
        <v>131</v>
      </c>
      <c r="C3" s="40"/>
      <c r="D3" s="41" t="s">
        <v>62</v>
      </c>
      <c r="E3" s="42"/>
      <c r="G3" s="43">
        <f>COUNTIF(D:D,"Done")</f>
        <v>6</v>
      </c>
      <c r="H3" s="41" t="s">
        <v>62</v>
      </c>
    </row>
    <row r="4" ht="12.75" customHeight="1">
      <c r="A4" s="44">
        <v>2.0</v>
      </c>
      <c r="B4" s="77" t="s">
        <v>132</v>
      </c>
      <c r="C4" s="40"/>
      <c r="D4" s="41" t="s">
        <v>62</v>
      </c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78" t="s">
        <v>133</v>
      </c>
      <c r="C5" s="40"/>
      <c r="D5" s="41" t="s">
        <v>62</v>
      </c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77" t="s">
        <v>134</v>
      </c>
      <c r="C6" s="40"/>
      <c r="D6" s="41" t="s">
        <v>62</v>
      </c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78" t="s">
        <v>135</v>
      </c>
      <c r="C7" s="40"/>
      <c r="D7" s="41" t="s">
        <v>62</v>
      </c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80" t="s">
        <v>136</v>
      </c>
      <c r="C8" s="40"/>
      <c r="D8" s="41" t="s">
        <v>62</v>
      </c>
      <c r="E8" s="42"/>
      <c r="G8" s="43">
        <f>COUNTIF(B3:B1005,"&lt;&gt;")</f>
        <v>6</v>
      </c>
      <c r="H8" s="49" t="s">
        <v>70</v>
      </c>
    </row>
    <row r="9" ht="12.75" customHeight="1">
      <c r="A9" s="44"/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/>
      <c r="B10" s="40"/>
      <c r="C10" s="40"/>
      <c r="D10" s="41"/>
      <c r="E10" s="42"/>
    </row>
    <row r="11" ht="12.75" customHeight="1">
      <c r="A11" s="39"/>
      <c r="B11" s="40"/>
      <c r="C11" s="40"/>
      <c r="D11" s="41"/>
      <c r="E11" s="42"/>
      <c r="G11" s="81" t="s">
        <v>137</v>
      </c>
      <c r="H11" s="6"/>
    </row>
    <row r="12" ht="12.75" customHeight="1">
      <c r="A12" s="44"/>
      <c r="B12" s="40"/>
      <c r="C12" s="40"/>
      <c r="D12" s="41"/>
      <c r="E12" s="42"/>
      <c r="G12" s="82" t="s">
        <v>77</v>
      </c>
      <c r="H12" s="6"/>
    </row>
    <row r="13" ht="12.75" customHeight="1">
      <c r="A13" s="44"/>
      <c r="B13" s="45"/>
      <c r="C13" s="40"/>
      <c r="D13" s="41"/>
      <c r="E13" s="42"/>
      <c r="G13" s="81" t="s">
        <v>79</v>
      </c>
      <c r="H13" s="6"/>
    </row>
    <row r="14" ht="12.75" customHeight="1">
      <c r="A14" s="44"/>
      <c r="B14" s="45"/>
      <c r="C14" s="40"/>
      <c r="D14" s="41"/>
      <c r="E14" s="42"/>
    </row>
    <row r="15" ht="12.75" customHeight="1">
      <c r="A15" s="39"/>
      <c r="B15" s="45"/>
      <c r="C15" s="40"/>
      <c r="D15" s="41"/>
      <c r="E15" s="42"/>
    </row>
    <row r="16" ht="12.75" customHeight="1">
      <c r="A16" s="44"/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0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11 D13:D1005">
    <cfRule type="containsText" dxfId="13" priority="8" operator="containsText" text="PASS">
      <formula>NOT(ISERROR(SEARCH(("PASS"),(D2))))</formula>
    </cfRule>
  </conditionalFormatting>
  <conditionalFormatting sqref="D2 H3:H9 D4:D11 D13:D1005">
    <cfRule type="containsText" dxfId="14" priority="9" operator="containsText" text="CHECK">
      <formula>NOT(ISERROR(SEARCH(("CHECK"),(D2))))</formula>
    </cfRule>
  </conditionalFormatting>
  <conditionalFormatting sqref="D2 H3:H9 D4:D11 D13:D1005">
    <cfRule type="containsText" dxfId="15" priority="10" operator="containsText" text="PROBLEM">
      <formula>NOT(ISERROR(SEARCH(("PROBLEM"),(D2))))</formula>
    </cfRule>
  </conditionalFormatting>
  <conditionalFormatting sqref="D2 H3:H9 D4:D11 D13:D1005">
    <cfRule type="containsText" dxfId="16" priority="11" operator="containsText" text="NOT CHECKED">
      <formula>NOT(ISERROR(SEARCH(("NOT CHECKED"),(D2))))</formula>
    </cfRule>
  </conditionalFormatting>
  <conditionalFormatting sqref="D2 H3:H9 D4:D11 D13:D1005">
    <cfRule type="containsText" dxfId="17" priority="12" operator="containsText" text="NOT USED">
      <formula>NOT(ISERROR(SEARCH(("NOT USED"),(D2))))</formula>
    </cfRule>
  </conditionalFormatting>
  <conditionalFormatting sqref="D2 H3:H9 D4:D11 D13:D1005">
    <cfRule type="containsText" dxfId="18" priority="13" operator="containsText" text="N/A">
      <formula>NOT(ISERROR(SEARCH(("N/A"),(D2))))</formula>
    </cfRule>
  </conditionalFormatting>
  <conditionalFormatting sqref="D12">
    <cfRule type="containsText" dxfId="13" priority="14" operator="containsText" text="PASS">
      <formula>NOT(ISERROR(SEARCH(("PASS"),(D12))))</formula>
    </cfRule>
  </conditionalFormatting>
  <conditionalFormatting sqref="D12">
    <cfRule type="containsText" dxfId="14" priority="15" operator="containsText" text="CHECK">
      <formula>NOT(ISERROR(SEARCH(("CHECK"),(D12))))</formula>
    </cfRule>
  </conditionalFormatting>
  <conditionalFormatting sqref="D12">
    <cfRule type="containsText" dxfId="15" priority="16" operator="containsText" text="PROBLEM">
      <formula>NOT(ISERROR(SEARCH(("PROBLEM"),(D12))))</formula>
    </cfRule>
  </conditionalFormatting>
  <conditionalFormatting sqref="D12">
    <cfRule type="containsText" dxfId="16" priority="17" operator="containsText" text="NOT CHECKED">
      <formula>NOT(ISERROR(SEARCH(("NOT CHECKED"),(D12))))</formula>
    </cfRule>
  </conditionalFormatting>
  <conditionalFormatting sqref="D12">
    <cfRule type="containsText" dxfId="17" priority="18" operator="containsText" text="NOT USED">
      <formula>NOT(ISERROR(SEARCH(("NOT USED"),(D12))))</formula>
    </cfRule>
  </conditionalFormatting>
  <conditionalFormatting sqref="D12">
    <cfRule type="containsText" dxfId="18" priority="19" operator="containsText" text="N/A">
      <formula>NOT(ISERROR(SEARCH(("N/A"),(D12))))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Refer the DRC report at Annexure-II" location="'Annexure-II'!A1" ref="B8"/>
    <hyperlink display="Previous" location="'Test Points'!A1" ref="G11"/>
    <hyperlink display="Home" location="Overview!A1" ref="G12"/>
    <hyperlink display="Next" location="Impedance!A1" ref="G13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2.13"/>
    <col customWidth="1" min="3" max="3" width="38.13"/>
    <col customWidth="1" min="4" max="4" width="15.63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79" t="s">
        <v>138</v>
      </c>
      <c r="C3" s="40"/>
      <c r="D3" s="41" t="s">
        <v>62</v>
      </c>
      <c r="E3" s="42"/>
      <c r="G3" s="43">
        <f>COUNTIF(D:D,"Done")</f>
        <v>1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1</v>
      </c>
      <c r="H8" s="49" t="s">
        <v>70</v>
      </c>
    </row>
    <row r="9" ht="12.75" customHeight="1">
      <c r="A9" s="44">
        <v>7.0</v>
      </c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0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11 D13:D1005">
    <cfRule type="containsText" dxfId="13" priority="8" operator="containsText" text="PASS">
      <formula>NOT(ISERROR(SEARCH(("PASS"),(D2))))</formula>
    </cfRule>
  </conditionalFormatting>
  <conditionalFormatting sqref="D2 H3:H9 D4:D11 D13:D1005">
    <cfRule type="containsText" dxfId="14" priority="9" operator="containsText" text="CHECK">
      <formula>NOT(ISERROR(SEARCH(("CHECK"),(D2))))</formula>
    </cfRule>
  </conditionalFormatting>
  <conditionalFormatting sqref="D2 H3:H9 D4:D11 D13:D1005">
    <cfRule type="containsText" dxfId="15" priority="10" operator="containsText" text="PROBLEM">
      <formula>NOT(ISERROR(SEARCH(("PROBLEM"),(D2))))</formula>
    </cfRule>
  </conditionalFormatting>
  <conditionalFormatting sqref="D2 H3:H9 D4:D11 D13:D1005">
    <cfRule type="containsText" dxfId="16" priority="11" operator="containsText" text="NOT CHECKED">
      <formula>NOT(ISERROR(SEARCH(("NOT CHECKED"),(D2))))</formula>
    </cfRule>
  </conditionalFormatting>
  <conditionalFormatting sqref="D2 H3:H9 D4:D11 D13:D1005">
    <cfRule type="containsText" dxfId="17" priority="12" operator="containsText" text="NOT USED">
      <formula>NOT(ISERROR(SEARCH(("NOT USED"),(D2))))</formula>
    </cfRule>
  </conditionalFormatting>
  <conditionalFormatting sqref="D2 H3:H9 D4:D11 D13:D1005">
    <cfRule type="containsText" dxfId="18" priority="13" operator="containsText" text="N/A">
      <formula>NOT(ISERROR(SEARCH(("N/A"),(D2))))</formula>
    </cfRule>
  </conditionalFormatting>
  <conditionalFormatting sqref="D16">
    <cfRule type="containsText" dxfId="13" priority="14" operator="containsText" text="PASS">
      <formula>NOT(ISERROR(SEARCH(("PASS"),(D16))))</formula>
    </cfRule>
  </conditionalFormatting>
  <conditionalFormatting sqref="D16">
    <cfRule type="containsText" dxfId="14" priority="15" operator="containsText" text="CHECK">
      <formula>NOT(ISERROR(SEARCH(("CHECK"),(D16))))</formula>
    </cfRule>
  </conditionalFormatting>
  <conditionalFormatting sqref="D16">
    <cfRule type="containsText" dxfId="15" priority="16" operator="containsText" text="PROBLEM">
      <formula>NOT(ISERROR(SEARCH(("PROBLEM"),(D16))))</formula>
    </cfRule>
  </conditionalFormatting>
  <conditionalFormatting sqref="D16">
    <cfRule type="containsText" dxfId="16" priority="17" operator="containsText" text="NOT CHECKED">
      <formula>NOT(ISERROR(SEARCH(("NOT CHECKED"),(D16))))</formula>
    </cfRule>
  </conditionalFormatting>
  <conditionalFormatting sqref="D16">
    <cfRule type="containsText" dxfId="17" priority="18" operator="containsText" text="NOT USED">
      <formula>NOT(ISERROR(SEARCH(("NOT USED"),(D16))))</formula>
    </cfRule>
  </conditionalFormatting>
  <conditionalFormatting sqref="D16">
    <cfRule type="containsText" dxfId="18" priority="19" operator="containsText" text="N/A">
      <formula>NOT(ISERROR(SEARCH(("N/A"),(D16))))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Refer Annexure-III for signals considered for Impedance matching" location="'Annexure-III'!A1" ref="B3"/>
    <hyperlink display="Previous" location="DRC!A1" ref="G11"/>
    <hyperlink display="Home" location="Overview!A1" ref="G12"/>
    <hyperlink display="Next" location="' General Points'!A1" ref="G13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/>
      <c r="C3" s="40"/>
      <c r="D3" s="41"/>
      <c r="E3" s="42"/>
      <c r="G3" s="43">
        <f>COUNTIF(D:D,"Done")</f>
        <v>0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0</v>
      </c>
      <c r="H8" s="49" t="s">
        <v>70</v>
      </c>
    </row>
    <row r="9" ht="26.25" customHeight="1">
      <c r="A9" s="44">
        <v>7.0</v>
      </c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  <c r="G19" s="74" t="s">
        <v>86</v>
      </c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63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12 D14:D34 D36:D41 D43:D47 D49:D53 D55:D62 D64:D1005">
    <cfRule type="containsText" dxfId="13" priority="8" operator="containsText" text="PASS">
      <formula>NOT(ISERROR(SEARCH(("PASS"),(D2))))</formula>
    </cfRule>
  </conditionalFormatting>
  <conditionalFormatting sqref="D2 H3:H9 D4:D12 D14:D34 D36:D41 D43:D47 D49:D53 D55:D62 D64:D1005">
    <cfRule type="containsText" dxfId="14" priority="9" operator="containsText" text="CHECK">
      <formula>NOT(ISERROR(SEARCH(("CHECK"),(D2))))</formula>
    </cfRule>
  </conditionalFormatting>
  <conditionalFormatting sqref="D2 H3:H9 D4:D12 D14:D34 D36:D41 D43:D47 D49:D53 D55:D62 D64:D1005">
    <cfRule type="containsText" dxfId="15" priority="10" operator="containsText" text="PROBLEM">
      <formula>NOT(ISERROR(SEARCH(("PROBLEM"),(D2))))</formula>
    </cfRule>
  </conditionalFormatting>
  <conditionalFormatting sqref="D2 H3:H9 D4:D12 D14:D34 D36:D41 D43:D47 D49:D53 D55:D62 D64:D1005">
    <cfRule type="containsText" dxfId="16" priority="11" operator="containsText" text="NOT CHECKED">
      <formula>NOT(ISERROR(SEARCH(("NOT CHECKED"),(D2))))</formula>
    </cfRule>
  </conditionalFormatting>
  <conditionalFormatting sqref="D2 H3:H9 D4:D12 D14:D34 D36:D41 D43:D47 D49:D53 D55:D62 D64:D1005">
    <cfRule type="containsText" dxfId="17" priority="12" operator="containsText" text="NOT USED">
      <formula>NOT(ISERROR(SEARCH(("NOT USED"),(D2))))</formula>
    </cfRule>
  </conditionalFormatting>
  <conditionalFormatting sqref="D2 H3:H9 D4:D12 D14:D34 D36:D41 D43:D47 D49:D53 D55:D62 D64:D1005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" location="FPGA!A1" ref="G11"/>
    <hyperlink display="Home" location="Overview!A1" ref="G12"/>
    <hyperlink display="Next" location="SFP!A1" ref="G13"/>
  </hyperlinks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/>
      <c r="C3" s="40"/>
      <c r="D3" s="41"/>
      <c r="E3" s="42"/>
      <c r="G3" s="43">
        <f>COUNTIF(D:D,"Done")</f>
        <v>0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0</v>
      </c>
      <c r="H8" s="49" t="s">
        <v>70</v>
      </c>
    </row>
    <row r="9" ht="12.75" customHeight="1">
      <c r="A9" s="44">
        <v>7.0</v>
      </c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0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12 D14:D1005">
    <cfRule type="containsText" dxfId="13" priority="8" operator="containsText" text="PASS">
      <formula>NOT(ISERROR(SEARCH(("PASS"),(D2))))</formula>
    </cfRule>
  </conditionalFormatting>
  <conditionalFormatting sqref="D2 H3:H9 D4:D12 D14:D1005">
    <cfRule type="containsText" dxfId="14" priority="9" operator="containsText" text="CHECK">
      <formula>NOT(ISERROR(SEARCH(("CHECK"),(D2))))</formula>
    </cfRule>
  </conditionalFormatting>
  <conditionalFormatting sqref="D2 H3:H9 D4:D12 D14:D1005">
    <cfRule type="containsText" dxfId="15" priority="10" operator="containsText" text="PROBLEM">
      <formula>NOT(ISERROR(SEARCH(("PROBLEM"),(D2))))</formula>
    </cfRule>
  </conditionalFormatting>
  <conditionalFormatting sqref="D2 H3:H9 D4:D12 D14:D1005">
    <cfRule type="containsText" dxfId="16" priority="11" operator="containsText" text="NOT CHECKED">
      <formula>NOT(ISERROR(SEARCH(("NOT CHECKED"),(D2))))</formula>
    </cfRule>
  </conditionalFormatting>
  <conditionalFormatting sqref="D2 H3:H9 D4:D12 D14:D1005">
    <cfRule type="containsText" dxfId="17" priority="12" operator="containsText" text="NOT USED">
      <formula>NOT(ISERROR(SEARCH(("NOT USED"),(D2))))</formula>
    </cfRule>
  </conditionalFormatting>
  <conditionalFormatting sqref="D2 H3:H9 D4:D12 D14:D1005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" location="'USB,SPI and I2C'!A1" ref="G11"/>
    <hyperlink display="Home" location="Overview!A1" ref="G12"/>
    <hyperlink display="Next" location="'Display, Trigger'!A1" ref="G13"/>
  </hyperlinks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/>
      <c r="C3" s="40"/>
      <c r="D3" s="41"/>
      <c r="E3" s="42"/>
      <c r="G3" s="43">
        <f>COUNTIF(D:D,"Done")</f>
        <v>0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0</v>
      </c>
      <c r="H8" s="49" t="s">
        <v>70</v>
      </c>
    </row>
    <row r="9" ht="26.25" customHeight="1">
      <c r="A9" s="44">
        <v>7.0</v>
      </c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5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7 D9:D13 D15:D24 D26:D1005">
    <cfRule type="containsText" dxfId="13" priority="8" operator="containsText" text="PASS">
      <formula>NOT(ISERROR(SEARCH(("PASS"),(D2))))</formula>
    </cfRule>
  </conditionalFormatting>
  <conditionalFormatting sqref="D2 H3:H9 D4:D7 D9:D13 D15:D24 D26:D1005">
    <cfRule type="containsText" dxfId="14" priority="9" operator="containsText" text="CHECK">
      <formula>NOT(ISERROR(SEARCH(("CHECK"),(D2))))</formula>
    </cfRule>
  </conditionalFormatting>
  <conditionalFormatting sqref="D2 H3:H9 D4:D7 D9:D13 D15:D24 D26:D1005">
    <cfRule type="containsText" dxfId="15" priority="10" operator="containsText" text="PROBLEM">
      <formula>NOT(ISERROR(SEARCH(("PROBLEM"),(D2))))</formula>
    </cfRule>
  </conditionalFormatting>
  <conditionalFormatting sqref="D2 H3:H9 D4:D7 D9:D13 D15:D24 D26:D1005">
    <cfRule type="containsText" dxfId="16" priority="11" operator="containsText" text="NOT CHECKED">
      <formula>NOT(ISERROR(SEARCH(("NOT CHECKED"),(D2))))</formula>
    </cfRule>
  </conditionalFormatting>
  <conditionalFormatting sqref="D2 H3:H9 D4:D7 D9:D13 D15:D24 D26:D1005">
    <cfRule type="containsText" dxfId="17" priority="12" operator="containsText" text="NOT USED">
      <formula>NOT(ISERROR(SEARCH(("NOT USED"),(D2))))</formula>
    </cfRule>
  </conditionalFormatting>
  <conditionalFormatting sqref="D2 H3:H9 D4:D7 D9:D13 D15:D24 D26:D1005">
    <cfRule type="containsText" dxfId="18" priority="13" operator="containsText" text="N/A">
      <formula>NOT(ISERROR(SEARCH(("N/A"),(D2))))</formula>
    </cfRule>
  </conditionalFormatting>
  <conditionalFormatting sqref="D25">
    <cfRule type="containsText" dxfId="13" priority="14" operator="containsText" text="PASS">
      <formula>NOT(ISERROR(SEARCH(("PASS"),(D25))))</formula>
    </cfRule>
  </conditionalFormatting>
  <conditionalFormatting sqref="D25">
    <cfRule type="containsText" dxfId="14" priority="15" operator="containsText" text="CHECK">
      <formula>NOT(ISERROR(SEARCH(("CHECK"),(D25))))</formula>
    </cfRule>
  </conditionalFormatting>
  <conditionalFormatting sqref="D25">
    <cfRule type="containsText" dxfId="15" priority="16" operator="containsText" text="PROBLEM">
      <formula>NOT(ISERROR(SEARCH(("PROBLEM"),(D25))))</formula>
    </cfRule>
  </conditionalFormatting>
  <conditionalFormatting sqref="D25">
    <cfRule type="containsText" dxfId="16" priority="17" operator="containsText" text="NOT CHECKED">
      <formula>NOT(ISERROR(SEARCH(("NOT CHECKED"),(D25))))</formula>
    </cfRule>
  </conditionalFormatting>
  <conditionalFormatting sqref="D25">
    <cfRule type="containsText" dxfId="17" priority="18" operator="containsText" text="NOT USED">
      <formula>NOT(ISERROR(SEARCH(("NOT USED"),(D25))))</formula>
    </cfRule>
  </conditionalFormatting>
  <conditionalFormatting sqref="D25">
    <cfRule type="containsText" dxfId="18" priority="19" operator="containsText" text="N/A">
      <formula>NOT(ISERROR(SEARCH(("N/A"),(D25))))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" location="'Display, Trigger'!A1" ref="G11"/>
    <hyperlink display="Home" location="Overview!A1" ref="G12"/>
    <hyperlink display="Next" location="Addon_Sheet2!A1" ref="G13"/>
  </hyperlinks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/>
      <c r="C3" s="40"/>
      <c r="D3" s="41"/>
      <c r="E3" s="42"/>
      <c r="G3" s="43">
        <f>COUNTIF(D:D,"Done")</f>
        <v>0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0</v>
      </c>
      <c r="H8" s="49" t="s">
        <v>70</v>
      </c>
    </row>
    <row r="9" ht="26.25" customHeight="1">
      <c r="A9" s="44">
        <v>7.0</v>
      </c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0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12 D14:D27 D29:D1005">
    <cfRule type="containsText" dxfId="13" priority="8" operator="containsText" text="PASS">
      <formula>NOT(ISERROR(SEARCH(("PASS"),(D2))))</formula>
    </cfRule>
  </conditionalFormatting>
  <conditionalFormatting sqref="D2 H3:H9 D4:D12 D14:D27 D29:D1005">
    <cfRule type="containsText" dxfId="14" priority="9" operator="containsText" text="CHECK">
      <formula>NOT(ISERROR(SEARCH(("CHECK"),(D2))))</formula>
    </cfRule>
  </conditionalFormatting>
  <conditionalFormatting sqref="D2 H3:H9 D4:D12 D14:D27 D29:D1005">
    <cfRule type="containsText" dxfId="15" priority="10" operator="containsText" text="PROBLEM">
      <formula>NOT(ISERROR(SEARCH(("PROBLEM"),(D2))))</formula>
    </cfRule>
  </conditionalFormatting>
  <conditionalFormatting sqref="D2 H3:H9 D4:D12 D14:D27 D29:D1005">
    <cfRule type="containsText" dxfId="16" priority="11" operator="containsText" text="NOT CHECKED">
      <formula>NOT(ISERROR(SEARCH(("NOT CHECKED"),(D2))))</formula>
    </cfRule>
  </conditionalFormatting>
  <conditionalFormatting sqref="D2 H3:H9 D4:D12 D14:D27 D29:D1005">
    <cfRule type="containsText" dxfId="17" priority="12" operator="containsText" text="NOT USED">
      <formula>NOT(ISERROR(SEARCH(("NOT USED"),(D2))))</formula>
    </cfRule>
  </conditionalFormatting>
  <conditionalFormatting sqref="D2 H3:H9 D4:D12 D14:D27 D29:D1005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" location="SFP!A1" ref="G11"/>
    <hyperlink display="Home" location="Overview!A1" ref="G12"/>
    <hyperlink display="Next" location="'Level Translators, Reset, LED'!A1" ref="G13"/>
  </hyperlinks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/>
      <c r="C3" s="40"/>
      <c r="D3" s="41"/>
      <c r="E3" s="42"/>
      <c r="G3" s="43">
        <f>COUNTIF(D:D,"Done")</f>
        <v>0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0</v>
      </c>
      <c r="H8" s="49" t="s">
        <v>70</v>
      </c>
    </row>
    <row r="9" ht="26.25" customHeight="1">
      <c r="A9" s="44">
        <v>7.0</v>
      </c>
      <c r="B9" s="40"/>
      <c r="C9" s="40"/>
      <c r="D9" s="41"/>
      <c r="E9" s="42"/>
      <c r="G9" s="83" t="str">
        <f>IF((G8)=(G3+G7),"Completed","Pending")</f>
        <v>Completed</v>
      </c>
      <c r="H9" s="84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3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22 D24:D1005">
    <cfRule type="containsText" dxfId="13" priority="8" operator="containsText" text="PASS">
      <formula>NOT(ISERROR(SEARCH(("PASS"),(D2))))</formula>
    </cfRule>
  </conditionalFormatting>
  <conditionalFormatting sqref="D2 H3:H9 D4:D22 D24:D1005">
    <cfRule type="containsText" dxfId="14" priority="9" operator="containsText" text="CHECK">
      <formula>NOT(ISERROR(SEARCH(("CHECK"),(D2))))</formula>
    </cfRule>
  </conditionalFormatting>
  <conditionalFormatting sqref="D2 H3:H9 D4:D22 D24:D1005">
    <cfRule type="containsText" dxfId="15" priority="10" operator="containsText" text="PROBLEM">
      <formula>NOT(ISERROR(SEARCH(("PROBLEM"),(D2))))</formula>
    </cfRule>
  </conditionalFormatting>
  <conditionalFormatting sqref="D2 H3:H9 D4:D22 D24:D1005">
    <cfRule type="containsText" dxfId="16" priority="11" operator="containsText" text="NOT CHECKED">
      <formula>NOT(ISERROR(SEARCH(("NOT CHECKED"),(D2))))</formula>
    </cfRule>
  </conditionalFormatting>
  <conditionalFormatting sqref="D2 H3:H9 D4:D22 D24:D1005">
    <cfRule type="containsText" dxfId="17" priority="12" operator="containsText" text="NOT USED">
      <formula>NOT(ISERROR(SEARCH(("NOT USED"),(D2))))</formula>
    </cfRule>
  </conditionalFormatting>
  <conditionalFormatting sqref="D2 H3:H9 D4:D22 D24:D1005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" location="'Power Simulation'!A1" ref="G11"/>
    <hyperlink display="Home" location="Overview!A1" ref="G12"/>
    <hyperlink display="Next" location="'USB,SPI and I2C'!A1" ref="G13"/>
  </hyperlinks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2.13"/>
    <col customWidth="1" min="3" max="3" width="38.13"/>
    <col customWidth="1" min="4" max="4" width="15.63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/>
      <c r="C3" s="40"/>
      <c r="D3" s="41"/>
      <c r="E3" s="42"/>
      <c r="G3" s="43">
        <f>COUNTIF(D:D,"Done")</f>
        <v>0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0</v>
      </c>
      <c r="H8" s="49" t="s">
        <v>70</v>
      </c>
    </row>
    <row r="9" ht="12.75" customHeight="1">
      <c r="A9" s="44">
        <v>7.0</v>
      </c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28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:D1005 H3:H9">
    <cfRule type="containsText" dxfId="13" priority="8" operator="containsText" text="PASS">
      <formula>NOT(ISERROR(SEARCH(("PASS"),(D2))))</formula>
    </cfRule>
  </conditionalFormatting>
  <conditionalFormatting sqref="D2:D1005 H3:H9">
    <cfRule type="containsText" dxfId="14" priority="9" operator="containsText" text="CHECK">
      <formula>NOT(ISERROR(SEARCH(("CHECK"),(D2))))</formula>
    </cfRule>
  </conditionalFormatting>
  <conditionalFormatting sqref="D2:D1005 H3:H9">
    <cfRule type="containsText" dxfId="15" priority="10" operator="containsText" text="PROBLEM">
      <formula>NOT(ISERROR(SEARCH(("PROBLEM"),(D2))))</formula>
    </cfRule>
  </conditionalFormatting>
  <conditionalFormatting sqref="D2:D1005 H3:H9">
    <cfRule type="containsText" dxfId="16" priority="11" operator="containsText" text="NOT CHECKED">
      <formula>NOT(ISERROR(SEARCH(("NOT CHECKED"),(D2))))</formula>
    </cfRule>
  </conditionalFormatting>
  <conditionalFormatting sqref="D2:D1005 H3:H9">
    <cfRule type="containsText" dxfId="17" priority="12" operator="containsText" text="NOT USED">
      <formula>NOT(ISERROR(SEARCH(("NOT USED"),(D2))))</formula>
    </cfRule>
  </conditionalFormatting>
  <conditionalFormatting sqref="D2:D1005 H3:H9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" location="Impedance!A1" ref="G11"/>
    <hyperlink display="Home" location="Overview!A1" ref="G12"/>
    <hyperlink display="Next" location="'Annexure-I'!A1" ref="G13"/>
  </hyperlinks>
  <printOptions/>
  <pageMargins bottom="0.75" footer="0.0" header="0.0" left="0.7" right="0.7" top="0.75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  <col customWidth="1" min="10" max="10" width="56.38"/>
  </cols>
  <sheetData>
    <row r="1" ht="15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21.0" customHeight="1">
      <c r="A3" s="44">
        <v>1.0</v>
      </c>
      <c r="B3" s="73" t="s">
        <v>139</v>
      </c>
      <c r="C3" s="40"/>
      <c r="D3" s="41" t="s">
        <v>62</v>
      </c>
      <c r="E3" s="42"/>
      <c r="G3" s="43">
        <f>COUNTIF(D:D,"Done")</f>
        <v>11</v>
      </c>
      <c r="H3" s="41" t="s">
        <v>62</v>
      </c>
    </row>
    <row r="4" ht="18.75" customHeight="1">
      <c r="A4" s="44">
        <v>2.0</v>
      </c>
      <c r="B4" s="85" t="s">
        <v>140</v>
      </c>
      <c r="C4" s="40"/>
      <c r="D4" s="41" t="s">
        <v>62</v>
      </c>
      <c r="E4" s="42"/>
      <c r="G4" s="43">
        <f>COUNTIF(D:D,"In Progress")</f>
        <v>0</v>
      </c>
      <c r="H4" s="41" t="s">
        <v>64</v>
      </c>
    </row>
    <row r="5" ht="15.75" customHeight="1">
      <c r="A5" s="86">
        <v>3.0</v>
      </c>
      <c r="B5" s="87" t="s">
        <v>141</v>
      </c>
      <c r="C5" s="56"/>
      <c r="D5" s="41" t="s">
        <v>62</v>
      </c>
      <c r="E5" s="57"/>
      <c r="G5" s="43">
        <f>COUNTIF(D:D,"Issue Triggered")</f>
        <v>0</v>
      </c>
      <c r="H5" s="46" t="s">
        <v>15</v>
      </c>
    </row>
    <row r="6" ht="17.25" customHeight="1">
      <c r="A6" s="44">
        <v>4.0</v>
      </c>
      <c r="B6" s="73" t="s">
        <v>142</v>
      </c>
      <c r="C6" s="40"/>
      <c r="D6" s="41" t="s">
        <v>62</v>
      </c>
      <c r="E6" s="42"/>
      <c r="G6" s="43">
        <f t="shared" ref="G6:G7" si="1">COUNTIF(D:D,"NA")</f>
        <v>0</v>
      </c>
      <c r="H6" s="47" t="s">
        <v>67</v>
      </c>
    </row>
    <row r="7" ht="19.5" customHeight="1">
      <c r="A7" s="44">
        <v>5.0</v>
      </c>
      <c r="B7" s="85" t="s">
        <v>143</v>
      </c>
      <c r="C7" s="40"/>
      <c r="D7" s="41" t="s">
        <v>62</v>
      </c>
      <c r="E7" s="42"/>
      <c r="G7" s="43">
        <f t="shared" si="1"/>
        <v>0</v>
      </c>
      <c r="H7" s="48" t="s">
        <v>61</v>
      </c>
    </row>
    <row r="8" ht="19.5" customHeight="1">
      <c r="A8" s="44">
        <v>6.0</v>
      </c>
      <c r="B8" s="73" t="s">
        <v>144</v>
      </c>
      <c r="C8" s="40"/>
      <c r="D8" s="41" t="s">
        <v>62</v>
      </c>
      <c r="E8" s="42"/>
      <c r="G8" s="43">
        <f>COUNTIF(B3:B1005,"&lt;&gt;")</f>
        <v>11</v>
      </c>
      <c r="H8" s="49" t="s">
        <v>70</v>
      </c>
    </row>
    <row r="9" ht="14.25" customHeight="1">
      <c r="A9" s="44">
        <v>7.0</v>
      </c>
      <c r="B9" s="73" t="s">
        <v>145</v>
      </c>
      <c r="C9" s="40"/>
      <c r="D9" s="41" t="s">
        <v>62</v>
      </c>
      <c r="E9" s="42"/>
      <c r="G9" s="83" t="str">
        <f>IF((G8)=(G3+G7),"Completed","Pending")</f>
        <v>Completed</v>
      </c>
      <c r="H9" s="84" t="s">
        <v>72</v>
      </c>
    </row>
    <row r="10" ht="19.5" customHeight="1">
      <c r="A10" s="44">
        <v>8.0</v>
      </c>
      <c r="B10" s="73" t="s">
        <v>146</v>
      </c>
      <c r="C10" s="40"/>
      <c r="D10" s="41" t="s">
        <v>62</v>
      </c>
      <c r="E10" s="42"/>
    </row>
    <row r="11" ht="18.75" customHeight="1">
      <c r="A11" s="44">
        <v>9.0</v>
      </c>
      <c r="B11" s="73" t="s">
        <v>147</v>
      </c>
      <c r="C11" s="40"/>
      <c r="D11" s="41" t="s">
        <v>62</v>
      </c>
      <c r="E11" s="42"/>
      <c r="G11" s="67" t="s">
        <v>75</v>
      </c>
      <c r="H11" s="6"/>
    </row>
    <row r="12" ht="19.5" customHeight="1">
      <c r="A12" s="44">
        <v>10.0</v>
      </c>
      <c r="B12" s="73" t="s">
        <v>148</v>
      </c>
      <c r="C12" s="40"/>
      <c r="D12" s="41" t="s">
        <v>62</v>
      </c>
      <c r="E12" s="42"/>
      <c r="G12" s="53" t="s">
        <v>77</v>
      </c>
      <c r="H12" s="54"/>
    </row>
    <row r="13" ht="18.75" customHeight="1">
      <c r="A13" s="88">
        <v>11.0</v>
      </c>
      <c r="B13" s="85" t="s">
        <v>149</v>
      </c>
      <c r="C13" s="40"/>
      <c r="D13" s="41" t="s">
        <v>62</v>
      </c>
      <c r="E13" s="42"/>
      <c r="G13" s="5" t="s">
        <v>79</v>
      </c>
      <c r="H13" s="6"/>
    </row>
    <row r="14" ht="18.75" customHeight="1">
      <c r="A14" s="39"/>
      <c r="B14" s="40"/>
      <c r="C14" s="40"/>
      <c r="D14" s="41"/>
      <c r="E14" s="42"/>
      <c r="J14" s="45" t="s">
        <v>80</v>
      </c>
    </row>
    <row r="15" ht="20.25" customHeight="1">
      <c r="A15" s="39"/>
      <c r="B15" s="40"/>
      <c r="C15" s="40"/>
      <c r="D15" s="41"/>
      <c r="E15" s="42"/>
      <c r="J15" s="45" t="s">
        <v>81</v>
      </c>
    </row>
    <row r="16" ht="19.5" customHeight="1">
      <c r="A16" s="39"/>
      <c r="B16" s="40"/>
      <c r="C16" s="40"/>
      <c r="D16" s="41"/>
      <c r="E16" s="42"/>
      <c r="J16" s="45" t="s">
        <v>82</v>
      </c>
    </row>
    <row r="17" ht="15.75" customHeight="1">
      <c r="A17" s="39"/>
      <c r="B17" s="40"/>
      <c r="C17" s="40"/>
      <c r="D17" s="41"/>
      <c r="E17" s="42"/>
      <c r="G17" s="74" t="s">
        <v>86</v>
      </c>
    </row>
    <row r="18" ht="15.75" customHeight="1">
      <c r="A18" s="58"/>
      <c r="B18" s="59"/>
      <c r="C18" s="40"/>
      <c r="D18" s="41"/>
      <c r="E18" s="42"/>
      <c r="G18" s="74" t="s">
        <v>86</v>
      </c>
    </row>
    <row r="19" ht="15.75" customHeight="1">
      <c r="A19" s="39"/>
      <c r="B19" s="60"/>
      <c r="C19" s="40"/>
      <c r="D19" s="41"/>
      <c r="E19" s="42"/>
    </row>
    <row r="20" ht="15.75" customHeight="1">
      <c r="A20" s="39"/>
      <c r="B20" s="61"/>
      <c r="C20" s="40"/>
      <c r="D20" s="41"/>
      <c r="E20" s="42"/>
    </row>
    <row r="21" ht="15.75" customHeight="1">
      <c r="A21" s="39"/>
      <c r="B21" s="40"/>
      <c r="C21" s="40"/>
      <c r="D21" s="41"/>
      <c r="E21" s="42"/>
    </row>
    <row r="22" ht="15.75" customHeight="1">
      <c r="A22" s="39"/>
      <c r="B22" s="40"/>
      <c r="C22" s="40"/>
      <c r="D22" s="41"/>
      <c r="E22" s="42"/>
    </row>
    <row r="23" ht="15.75" customHeight="1">
      <c r="A23" s="39"/>
      <c r="B23" s="40"/>
      <c r="C23" s="40"/>
      <c r="D23" s="41"/>
      <c r="E23" s="42"/>
    </row>
    <row r="24" ht="15.75" customHeight="1">
      <c r="A24" s="39"/>
      <c r="B24" s="40"/>
      <c r="C24" s="40"/>
      <c r="D24" s="41"/>
      <c r="E24" s="42"/>
    </row>
    <row r="25" ht="15.75" customHeight="1">
      <c r="A25" s="39"/>
      <c r="B25" s="40"/>
      <c r="C25" s="40"/>
      <c r="D25" s="41"/>
      <c r="E25" s="42"/>
    </row>
    <row r="26" ht="15.75" customHeight="1">
      <c r="A26" s="39"/>
      <c r="B26" s="40"/>
      <c r="C26" s="40"/>
      <c r="D26" s="41"/>
      <c r="E26" s="42"/>
    </row>
    <row r="27" ht="15.75" customHeight="1">
      <c r="A27" s="39"/>
      <c r="B27" s="40"/>
      <c r="C27" s="40"/>
      <c r="D27" s="41"/>
      <c r="E27" s="42"/>
    </row>
    <row r="28" ht="15.75" customHeight="1">
      <c r="A28" s="39"/>
      <c r="B28" s="61"/>
      <c r="C28" s="40"/>
      <c r="D28" s="41"/>
      <c r="E28" s="42"/>
    </row>
    <row r="29" ht="15.75" customHeight="1">
      <c r="A29" s="39"/>
      <c r="B29" s="61"/>
      <c r="C29" s="40"/>
      <c r="D29" s="41"/>
      <c r="E29" s="42"/>
    </row>
    <row r="30" ht="15.75" customHeight="1">
      <c r="A30" s="39"/>
      <c r="B30" s="40"/>
      <c r="C30" s="40"/>
      <c r="D30" s="41"/>
      <c r="E30" s="42"/>
    </row>
    <row r="31" ht="15.75" customHeight="1">
      <c r="A31" s="39"/>
      <c r="B31" s="40"/>
      <c r="C31" s="40"/>
      <c r="D31" s="41"/>
      <c r="E31" s="42"/>
    </row>
    <row r="32" ht="15.75" customHeight="1">
      <c r="A32" s="39"/>
      <c r="B32" s="40"/>
      <c r="C32" s="40"/>
      <c r="D32" s="41"/>
      <c r="E32" s="42"/>
    </row>
    <row r="33" ht="15.75" customHeight="1">
      <c r="A33" s="39"/>
      <c r="B33" s="40"/>
      <c r="C33" s="40"/>
      <c r="D33" s="41"/>
      <c r="E33" s="42"/>
    </row>
    <row r="34" ht="15.75" customHeight="1">
      <c r="A34" s="39"/>
      <c r="B34" s="40"/>
      <c r="C34" s="40"/>
      <c r="D34" s="41"/>
      <c r="E34" s="42"/>
    </row>
    <row r="35" ht="15.75" customHeight="1">
      <c r="A35" s="58"/>
      <c r="B35" s="40"/>
      <c r="C35" s="40"/>
      <c r="D35" s="41"/>
      <c r="E35" s="42"/>
    </row>
    <row r="36" ht="15.75" customHeight="1">
      <c r="A36" s="39"/>
      <c r="B36" s="40"/>
      <c r="C36" s="40"/>
      <c r="D36" s="41"/>
      <c r="E36" s="42"/>
    </row>
    <row r="37" ht="15.75" customHeight="1">
      <c r="A37" s="39"/>
      <c r="B37" s="40"/>
      <c r="C37" s="40"/>
      <c r="D37" s="41"/>
      <c r="E37" s="42"/>
    </row>
    <row r="38" ht="15.75" customHeight="1">
      <c r="A38" s="39"/>
      <c r="B38" s="40"/>
      <c r="C38" s="40"/>
      <c r="D38" s="41"/>
      <c r="E38" s="42"/>
    </row>
    <row r="39" ht="15.75" customHeight="1">
      <c r="A39" s="39"/>
      <c r="B39" s="40"/>
      <c r="C39" s="40"/>
      <c r="D39" s="41"/>
      <c r="E39" s="42"/>
    </row>
    <row r="40" ht="15.75" customHeight="1">
      <c r="A40" s="39"/>
      <c r="B40" s="40"/>
      <c r="C40" s="40"/>
      <c r="D40" s="41"/>
      <c r="E40" s="42"/>
    </row>
    <row r="41" ht="15.75" customHeight="1">
      <c r="A41" s="58"/>
      <c r="B41" s="40"/>
      <c r="C41" s="40"/>
      <c r="D41" s="41"/>
      <c r="E41" s="42"/>
    </row>
    <row r="42" ht="15.75" customHeight="1">
      <c r="A42" s="58"/>
      <c r="B42" s="40"/>
      <c r="C42" s="40"/>
      <c r="D42" s="41"/>
      <c r="E42" s="42"/>
    </row>
    <row r="43" ht="15.75" customHeight="1">
      <c r="A43" s="39"/>
      <c r="B43" s="40"/>
      <c r="C43" s="40"/>
      <c r="D43" s="41"/>
      <c r="E43" s="42"/>
    </row>
    <row r="44" ht="15.75" customHeight="1">
      <c r="A44" s="39"/>
      <c r="B44" s="40"/>
      <c r="C44" s="40"/>
      <c r="D44" s="41"/>
      <c r="E44" s="42"/>
    </row>
    <row r="45" ht="15.75" customHeight="1">
      <c r="A45" s="39"/>
      <c r="B45" s="40"/>
      <c r="C45" s="40"/>
      <c r="D45" s="41"/>
      <c r="E45" s="42"/>
    </row>
    <row r="46" ht="15.75" customHeight="1">
      <c r="A46" s="39"/>
      <c r="B46" s="40"/>
      <c r="C46" s="40"/>
      <c r="D46" s="41"/>
      <c r="E46" s="42"/>
    </row>
    <row r="47" ht="15.75" customHeight="1">
      <c r="A47" s="39"/>
      <c r="B47" s="40"/>
      <c r="C47" s="40"/>
      <c r="D47" s="41"/>
      <c r="E47" s="42"/>
    </row>
    <row r="48" ht="15.75" customHeight="1">
      <c r="A48" s="62"/>
      <c r="B48" s="40"/>
      <c r="C48" s="40"/>
      <c r="D48" s="41"/>
      <c r="E48" s="42"/>
    </row>
    <row r="49" ht="15.75" customHeight="1">
      <c r="A49" s="39"/>
      <c r="B49" s="40"/>
      <c r="C49" s="40"/>
      <c r="D49" s="41"/>
      <c r="E49" s="42"/>
    </row>
    <row r="50" ht="15.75" customHeight="1">
      <c r="A50" s="39"/>
      <c r="B50" s="40"/>
      <c r="C50" s="40"/>
      <c r="D50" s="41"/>
      <c r="E50" s="42"/>
    </row>
    <row r="51" ht="15.75" customHeight="1">
      <c r="A51" s="39"/>
      <c r="B51" s="40"/>
      <c r="C51" s="40"/>
      <c r="D51" s="41"/>
      <c r="E51" s="42"/>
    </row>
    <row r="52" ht="15.75" customHeight="1">
      <c r="A52" s="39"/>
      <c r="B52" s="40"/>
      <c r="C52" s="40"/>
      <c r="D52" s="41"/>
      <c r="E52" s="42"/>
    </row>
    <row r="53" ht="15.75" customHeight="1">
      <c r="A53" s="39"/>
      <c r="B53" s="40"/>
      <c r="C53" s="40"/>
      <c r="D53" s="41"/>
      <c r="E53" s="42"/>
    </row>
    <row r="54" ht="15.75" customHeight="1">
      <c r="A54" s="39"/>
      <c r="B54" s="40"/>
      <c r="C54" s="40"/>
      <c r="D54" s="41"/>
      <c r="E54" s="42"/>
    </row>
    <row r="55" ht="15.75" customHeight="1">
      <c r="A55" s="58"/>
      <c r="B55" s="40"/>
      <c r="C55" s="40"/>
      <c r="D55" s="41"/>
      <c r="E55" s="42"/>
    </row>
    <row r="56" ht="15.75" customHeight="1">
      <c r="A56" s="58"/>
      <c r="B56" s="40"/>
      <c r="C56" s="40"/>
      <c r="D56" s="41"/>
      <c r="E56" s="42"/>
    </row>
    <row r="57" ht="15.75" customHeight="1">
      <c r="A57" s="39"/>
      <c r="B57" s="40"/>
      <c r="C57" s="40"/>
      <c r="D57" s="41"/>
      <c r="E57" s="42"/>
    </row>
    <row r="58" ht="15.75" customHeight="1">
      <c r="A58" s="39"/>
      <c r="B58" s="40"/>
      <c r="C58" s="40"/>
      <c r="D58" s="41"/>
      <c r="E58" s="42"/>
    </row>
    <row r="59" ht="15.75" customHeight="1">
      <c r="A59" s="39"/>
      <c r="B59" s="40"/>
      <c r="C59" s="40"/>
      <c r="D59" s="41"/>
      <c r="E59" s="42"/>
    </row>
    <row r="60" ht="15.75" customHeight="1">
      <c r="A60" s="39"/>
      <c r="B60" s="40"/>
      <c r="C60" s="40"/>
      <c r="D60" s="41"/>
      <c r="E60" s="42"/>
    </row>
    <row r="61" ht="15.75" customHeight="1">
      <c r="A61" s="39"/>
      <c r="B61" s="40"/>
      <c r="C61" s="40"/>
      <c r="D61" s="41"/>
      <c r="E61" s="42"/>
    </row>
    <row r="62" ht="15.75" customHeight="1">
      <c r="A62" s="62"/>
      <c r="B62" s="40"/>
      <c r="C62" s="40"/>
      <c r="D62" s="41"/>
      <c r="E62" s="42"/>
    </row>
    <row r="63" ht="15.75" customHeight="1">
      <c r="A63" s="39"/>
      <c r="B63" s="40"/>
      <c r="C63" s="40"/>
      <c r="D63" s="41"/>
      <c r="E63" s="42"/>
    </row>
    <row r="64" ht="15.75" customHeight="1">
      <c r="A64" s="39"/>
      <c r="B64" s="40"/>
      <c r="C64" s="40"/>
      <c r="D64" s="41"/>
      <c r="E64" s="42"/>
    </row>
    <row r="65" ht="15.75" customHeight="1">
      <c r="A65" s="39"/>
      <c r="B65" s="40"/>
      <c r="C65" s="40"/>
      <c r="D65" s="41"/>
      <c r="E65" s="42"/>
    </row>
    <row r="66" ht="15.75" customHeight="1">
      <c r="A66" s="39"/>
      <c r="B66" s="40"/>
      <c r="C66" s="40"/>
      <c r="D66" s="41"/>
      <c r="E66" s="42"/>
    </row>
    <row r="67" ht="15.75" customHeight="1">
      <c r="A67" s="39"/>
      <c r="B67" s="40"/>
      <c r="C67" s="40"/>
      <c r="D67" s="41"/>
      <c r="E67" s="42"/>
    </row>
    <row r="68" ht="15.75" customHeight="1">
      <c r="A68" s="39"/>
      <c r="B68" s="40"/>
      <c r="C68" s="40"/>
      <c r="D68" s="41"/>
      <c r="E68" s="42"/>
    </row>
    <row r="69" ht="15.75" customHeight="1">
      <c r="A69" s="39"/>
      <c r="B69" s="40"/>
      <c r="C69" s="40"/>
      <c r="D69" s="41"/>
      <c r="E69" s="42"/>
    </row>
    <row r="70" ht="15.75" customHeight="1">
      <c r="A70" s="39"/>
      <c r="B70" s="40"/>
      <c r="C70" s="40"/>
      <c r="D70" s="41"/>
      <c r="E70" s="42"/>
    </row>
    <row r="71" ht="15.75" customHeight="1">
      <c r="A71" s="58"/>
      <c r="B71" s="40"/>
      <c r="C71" s="40"/>
      <c r="D71" s="41"/>
      <c r="E71" s="42"/>
    </row>
    <row r="72" ht="15.75" customHeight="1">
      <c r="A72" s="58"/>
      <c r="B72" s="40"/>
      <c r="C72" s="40"/>
      <c r="D72" s="41"/>
      <c r="E72" s="42"/>
    </row>
    <row r="73" ht="15.75" customHeight="1">
      <c r="A73" s="39"/>
      <c r="B73" s="40"/>
      <c r="C73" s="40"/>
      <c r="D73" s="41"/>
      <c r="E73" s="42"/>
    </row>
    <row r="74" ht="15.75" customHeight="1">
      <c r="A74" s="39"/>
      <c r="B74" s="40"/>
      <c r="C74" s="40"/>
      <c r="D74" s="41"/>
      <c r="E74" s="42"/>
    </row>
    <row r="75" ht="15.75" customHeight="1">
      <c r="A75" s="39"/>
      <c r="B75" s="40"/>
      <c r="C75" s="40"/>
      <c r="D75" s="41"/>
      <c r="E75" s="42"/>
    </row>
    <row r="76" ht="15.75" customHeight="1">
      <c r="A76" s="39"/>
      <c r="B76" s="40"/>
      <c r="C76" s="40"/>
      <c r="D76" s="41"/>
      <c r="E76" s="42"/>
    </row>
    <row r="77" ht="15.75" customHeight="1">
      <c r="A77" s="39"/>
      <c r="B77" s="40"/>
      <c r="C77" s="40"/>
      <c r="D77" s="41"/>
      <c r="E77" s="42"/>
    </row>
    <row r="78" ht="15.75" customHeight="1">
      <c r="A78" s="39"/>
      <c r="B78" s="40"/>
      <c r="C78" s="40"/>
      <c r="D78" s="41"/>
      <c r="E78" s="42"/>
    </row>
    <row r="79" ht="15.75" customHeight="1">
      <c r="A79" s="39"/>
      <c r="B79" s="40"/>
      <c r="C79" s="40"/>
      <c r="D79" s="41"/>
      <c r="E79" s="42"/>
    </row>
    <row r="80" ht="15.75" customHeight="1">
      <c r="A80" s="39"/>
      <c r="B80" s="40"/>
      <c r="C80" s="40"/>
      <c r="D80" s="41"/>
      <c r="E80" s="42"/>
    </row>
    <row r="81" ht="15.75" customHeight="1">
      <c r="A81" s="39"/>
      <c r="B81" s="40"/>
      <c r="C81" s="40"/>
      <c r="D81" s="41"/>
      <c r="E81" s="42"/>
    </row>
    <row r="82" ht="15.75" customHeight="1">
      <c r="A82" s="39"/>
      <c r="B82" s="40"/>
      <c r="C82" s="40"/>
      <c r="D82" s="41"/>
      <c r="E82" s="42"/>
    </row>
    <row r="83" ht="15.75" customHeight="1">
      <c r="A83" s="39"/>
      <c r="B83" s="40"/>
      <c r="C83" s="40"/>
      <c r="D83" s="41"/>
      <c r="E83" s="42"/>
    </row>
    <row r="84" ht="15.75" customHeight="1">
      <c r="A84" s="39"/>
      <c r="B84" s="40"/>
      <c r="C84" s="40"/>
      <c r="D84" s="41"/>
      <c r="E84" s="42"/>
    </row>
    <row r="85" ht="15.75" customHeight="1">
      <c r="A85" s="39"/>
      <c r="B85" s="40"/>
      <c r="C85" s="40"/>
      <c r="D85" s="41"/>
      <c r="E85" s="42"/>
    </row>
    <row r="86" ht="15.75" customHeight="1">
      <c r="A86" s="39"/>
      <c r="B86" s="40"/>
      <c r="C86" s="40"/>
      <c r="D86" s="41"/>
      <c r="E86" s="42"/>
    </row>
    <row r="87" ht="15.75" customHeight="1">
      <c r="A87" s="39"/>
      <c r="B87" s="40"/>
      <c r="C87" s="40"/>
      <c r="D87" s="41"/>
      <c r="E87" s="42"/>
    </row>
    <row r="88" ht="15.75" customHeight="1">
      <c r="A88" s="39"/>
      <c r="B88" s="40"/>
      <c r="C88" s="40"/>
      <c r="D88" s="41"/>
      <c r="E88" s="42"/>
    </row>
    <row r="89" ht="15.75" customHeight="1">
      <c r="A89" s="39"/>
      <c r="B89" s="40"/>
      <c r="C89" s="40"/>
      <c r="D89" s="41"/>
      <c r="E89" s="42"/>
    </row>
    <row r="90" ht="15.75" customHeight="1">
      <c r="A90" s="39"/>
      <c r="B90" s="40"/>
      <c r="C90" s="40"/>
      <c r="D90" s="41"/>
      <c r="E90" s="42"/>
    </row>
    <row r="91" ht="15.75" customHeight="1">
      <c r="A91" s="39"/>
      <c r="B91" s="40"/>
      <c r="C91" s="40"/>
      <c r="D91" s="41"/>
      <c r="E91" s="42"/>
    </row>
    <row r="92" ht="15.75" customHeight="1">
      <c r="A92" s="39"/>
      <c r="B92" s="40"/>
      <c r="C92" s="40"/>
      <c r="D92" s="41"/>
      <c r="E92" s="42"/>
    </row>
    <row r="93" ht="15.75" customHeight="1">
      <c r="A93" s="39"/>
      <c r="B93" s="40"/>
      <c r="C93" s="40"/>
      <c r="D93" s="41"/>
      <c r="E93" s="42"/>
    </row>
    <row r="94" ht="15.75" customHeight="1">
      <c r="A94" s="39"/>
      <c r="B94" s="40"/>
      <c r="C94" s="40"/>
      <c r="D94" s="41"/>
      <c r="E94" s="42"/>
    </row>
    <row r="95" ht="15.75" customHeight="1">
      <c r="A95" s="39"/>
      <c r="B95" s="40"/>
      <c r="C95" s="40"/>
      <c r="D95" s="41"/>
      <c r="E95" s="42"/>
    </row>
    <row r="96" ht="15.75" customHeight="1">
      <c r="A96" s="39"/>
      <c r="B96" s="40"/>
      <c r="C96" s="40"/>
      <c r="D96" s="41"/>
      <c r="E96" s="42"/>
    </row>
    <row r="97" ht="15.75" customHeight="1">
      <c r="A97" s="39"/>
      <c r="B97" s="40"/>
      <c r="C97" s="40"/>
      <c r="D97" s="41"/>
      <c r="E97" s="42"/>
    </row>
    <row r="98" ht="15.75" customHeight="1">
      <c r="A98" s="39"/>
      <c r="B98" s="40"/>
      <c r="C98" s="40"/>
      <c r="D98" s="41"/>
      <c r="E98" s="42"/>
    </row>
    <row r="99" ht="15.75" customHeight="1">
      <c r="A99" s="39"/>
      <c r="B99" s="40"/>
      <c r="C99" s="40"/>
      <c r="D99" s="41"/>
      <c r="E99" s="42"/>
    </row>
    <row r="100" ht="15.75" customHeight="1">
      <c r="A100" s="39"/>
      <c r="B100" s="40"/>
      <c r="C100" s="40"/>
      <c r="D100" s="41"/>
      <c r="E100" s="42"/>
    </row>
    <row r="101" ht="15.75" customHeight="1">
      <c r="A101" s="39"/>
      <c r="B101" s="40"/>
      <c r="C101" s="40"/>
      <c r="D101" s="41"/>
      <c r="E101" s="42"/>
    </row>
    <row r="102" ht="15.75" customHeight="1">
      <c r="A102" s="39"/>
      <c r="B102" s="40"/>
      <c r="C102" s="40"/>
      <c r="D102" s="41"/>
      <c r="E102" s="42"/>
    </row>
    <row r="103" ht="15.75" customHeight="1">
      <c r="A103" s="39"/>
      <c r="B103" s="40"/>
      <c r="C103" s="40"/>
      <c r="D103" s="41"/>
      <c r="E103" s="42"/>
    </row>
    <row r="104" ht="15.75" customHeight="1">
      <c r="A104" s="39"/>
      <c r="B104" s="40"/>
      <c r="C104" s="40"/>
      <c r="D104" s="41"/>
      <c r="E104" s="42"/>
    </row>
    <row r="105" ht="15.75" customHeight="1">
      <c r="A105" s="39"/>
      <c r="B105" s="40"/>
      <c r="C105" s="40"/>
      <c r="D105" s="41"/>
      <c r="E105" s="42"/>
    </row>
    <row r="106" ht="15.75" customHeight="1">
      <c r="A106" s="39"/>
      <c r="B106" s="40"/>
      <c r="C106" s="40"/>
      <c r="D106" s="41"/>
      <c r="E106" s="42"/>
    </row>
    <row r="107" ht="15.75" customHeight="1">
      <c r="A107" s="39"/>
      <c r="B107" s="40"/>
      <c r="C107" s="40"/>
      <c r="D107" s="41"/>
      <c r="E107" s="42"/>
    </row>
    <row r="108" ht="15.75" customHeight="1">
      <c r="A108" s="39"/>
      <c r="B108" s="40"/>
      <c r="C108" s="40"/>
      <c r="D108" s="41"/>
      <c r="E108" s="42"/>
    </row>
    <row r="109" ht="15.75" customHeight="1">
      <c r="A109" s="39"/>
      <c r="B109" s="40"/>
      <c r="C109" s="40"/>
      <c r="D109" s="41"/>
      <c r="E109" s="42"/>
    </row>
    <row r="110" ht="15.75" customHeight="1">
      <c r="A110" s="39"/>
      <c r="B110" s="40"/>
      <c r="C110" s="40"/>
      <c r="D110" s="41"/>
      <c r="E110" s="42"/>
    </row>
    <row r="111" ht="15.75" customHeight="1">
      <c r="A111" s="39"/>
      <c r="B111" s="40"/>
      <c r="C111" s="40"/>
      <c r="D111" s="41"/>
      <c r="E111" s="42"/>
    </row>
    <row r="112" ht="15.75" customHeight="1">
      <c r="A112" s="39"/>
      <c r="B112" s="40"/>
      <c r="C112" s="40"/>
      <c r="D112" s="41"/>
      <c r="E112" s="42"/>
    </row>
    <row r="113" ht="15.75" customHeight="1">
      <c r="A113" s="39"/>
      <c r="B113" s="40"/>
      <c r="C113" s="40"/>
      <c r="D113" s="41"/>
      <c r="E113" s="42"/>
    </row>
    <row r="114" ht="15.75" customHeight="1">
      <c r="A114" s="39"/>
      <c r="B114" s="40"/>
      <c r="C114" s="40"/>
      <c r="D114" s="41"/>
      <c r="E114" s="42"/>
    </row>
    <row r="115" ht="15.75" customHeight="1">
      <c r="A115" s="39"/>
      <c r="B115" s="40"/>
      <c r="C115" s="40"/>
      <c r="D115" s="41"/>
      <c r="E115" s="42"/>
    </row>
    <row r="116" ht="15.75" customHeight="1">
      <c r="A116" s="39"/>
      <c r="B116" s="40"/>
      <c r="C116" s="40"/>
      <c r="D116" s="41"/>
      <c r="E116" s="42"/>
    </row>
    <row r="117" ht="15.75" customHeight="1">
      <c r="A117" s="39"/>
      <c r="B117" s="40"/>
      <c r="C117" s="40"/>
      <c r="D117" s="41"/>
      <c r="E117" s="42"/>
    </row>
    <row r="118" ht="15.75" customHeight="1">
      <c r="A118" s="39"/>
      <c r="B118" s="40"/>
      <c r="C118" s="40"/>
      <c r="D118" s="41"/>
      <c r="E118" s="42"/>
    </row>
    <row r="119" ht="15.75" customHeight="1">
      <c r="A119" s="39"/>
      <c r="B119" s="40"/>
      <c r="C119" s="40"/>
      <c r="D119" s="41"/>
      <c r="E119" s="42"/>
    </row>
    <row r="120" ht="15.75" customHeight="1">
      <c r="A120" s="39"/>
      <c r="B120" s="40"/>
      <c r="C120" s="40"/>
      <c r="D120" s="41"/>
      <c r="E120" s="42"/>
    </row>
    <row r="121" ht="15.75" customHeight="1">
      <c r="A121" s="39"/>
      <c r="B121" s="40"/>
      <c r="C121" s="40"/>
      <c r="D121" s="41"/>
      <c r="E121" s="42"/>
    </row>
    <row r="122" ht="15.75" customHeight="1">
      <c r="A122" s="39"/>
      <c r="B122" s="40"/>
      <c r="C122" s="40"/>
      <c r="D122" s="41"/>
      <c r="E122" s="42"/>
    </row>
    <row r="123" ht="15.75" customHeight="1">
      <c r="A123" s="39"/>
      <c r="B123" s="40"/>
      <c r="C123" s="40"/>
      <c r="D123" s="41"/>
      <c r="E123" s="42"/>
    </row>
    <row r="124" ht="15.75" customHeight="1">
      <c r="A124" s="39"/>
      <c r="B124" s="40"/>
      <c r="C124" s="40"/>
      <c r="D124" s="41"/>
      <c r="E124" s="42"/>
    </row>
    <row r="125" ht="15.75" customHeight="1">
      <c r="A125" s="39"/>
      <c r="B125" s="40"/>
      <c r="C125" s="40"/>
      <c r="D125" s="41"/>
      <c r="E125" s="42"/>
    </row>
    <row r="126" ht="15.75" customHeight="1">
      <c r="A126" s="39"/>
      <c r="B126" s="40"/>
      <c r="C126" s="40"/>
      <c r="D126" s="41"/>
      <c r="E126" s="42"/>
    </row>
    <row r="127" ht="15.75" customHeight="1">
      <c r="A127" s="39"/>
      <c r="B127" s="40"/>
      <c r="C127" s="40"/>
      <c r="D127" s="41"/>
      <c r="E127" s="42"/>
    </row>
    <row r="128" ht="15.75" customHeight="1">
      <c r="A128" s="39"/>
      <c r="B128" s="40"/>
      <c r="C128" s="40"/>
      <c r="D128" s="41"/>
      <c r="E128" s="42"/>
    </row>
    <row r="129" ht="15.75" customHeight="1">
      <c r="A129" s="39"/>
      <c r="B129" s="40"/>
      <c r="C129" s="40"/>
      <c r="D129" s="41"/>
      <c r="E129" s="42"/>
    </row>
    <row r="130" ht="15.75" customHeight="1">
      <c r="A130" s="39"/>
      <c r="B130" s="40"/>
      <c r="C130" s="40"/>
      <c r="D130" s="41"/>
      <c r="E130" s="42"/>
    </row>
    <row r="131" ht="15.75" customHeight="1">
      <c r="A131" s="39"/>
      <c r="B131" s="40"/>
      <c r="C131" s="40"/>
      <c r="D131" s="41"/>
      <c r="E131" s="42"/>
    </row>
    <row r="132" ht="15.75" customHeight="1">
      <c r="A132" s="39"/>
      <c r="B132" s="40"/>
      <c r="C132" s="40"/>
      <c r="D132" s="41"/>
      <c r="E132" s="42"/>
    </row>
    <row r="133" ht="15.75" customHeight="1">
      <c r="A133" s="39"/>
      <c r="B133" s="40"/>
      <c r="C133" s="40"/>
      <c r="D133" s="41"/>
      <c r="E133" s="42"/>
    </row>
    <row r="134" ht="15.75" customHeight="1">
      <c r="A134" s="39"/>
      <c r="B134" s="40"/>
      <c r="C134" s="40"/>
      <c r="D134" s="41"/>
      <c r="E134" s="42"/>
    </row>
    <row r="135" ht="15.75" customHeight="1">
      <c r="A135" s="39"/>
      <c r="B135" s="40"/>
      <c r="C135" s="40"/>
      <c r="D135" s="41"/>
      <c r="E135" s="42"/>
    </row>
    <row r="136" ht="15.75" customHeight="1">
      <c r="A136" s="39"/>
      <c r="B136" s="40"/>
      <c r="C136" s="40"/>
      <c r="D136" s="41"/>
      <c r="E136" s="42"/>
    </row>
    <row r="137" ht="15.75" customHeight="1">
      <c r="A137" s="39"/>
      <c r="B137" s="40"/>
      <c r="C137" s="40"/>
      <c r="D137" s="41"/>
      <c r="E137" s="42"/>
    </row>
    <row r="138" ht="15.75" customHeight="1">
      <c r="A138" s="39"/>
      <c r="B138" s="40"/>
      <c r="C138" s="40"/>
      <c r="D138" s="41"/>
      <c r="E138" s="42"/>
    </row>
    <row r="139" ht="15.75" customHeight="1">
      <c r="A139" s="39"/>
      <c r="B139" s="40"/>
      <c r="C139" s="40"/>
      <c r="D139" s="41"/>
      <c r="E139" s="42"/>
    </row>
    <row r="140" ht="15.75" customHeight="1">
      <c r="A140" s="39"/>
      <c r="B140" s="40"/>
      <c r="C140" s="40"/>
      <c r="D140" s="41"/>
      <c r="E140" s="42"/>
    </row>
    <row r="141" ht="15.75" customHeight="1">
      <c r="A141" s="39"/>
      <c r="B141" s="40"/>
      <c r="C141" s="40"/>
      <c r="D141" s="41"/>
      <c r="E141" s="42"/>
    </row>
    <row r="142" ht="15.75" customHeight="1">
      <c r="A142" s="39"/>
      <c r="B142" s="40"/>
      <c r="C142" s="40"/>
      <c r="D142" s="41"/>
      <c r="E142" s="42"/>
    </row>
    <row r="143" ht="15.75" customHeight="1">
      <c r="A143" s="39"/>
      <c r="B143" s="40"/>
      <c r="C143" s="40"/>
      <c r="D143" s="41"/>
      <c r="E143" s="42"/>
    </row>
    <row r="144" ht="15.75" customHeight="1">
      <c r="A144" s="39"/>
      <c r="B144" s="40"/>
      <c r="C144" s="40"/>
      <c r="D144" s="41"/>
      <c r="E144" s="42"/>
    </row>
    <row r="145" ht="15.75" customHeight="1">
      <c r="A145" s="39"/>
      <c r="B145" s="40"/>
      <c r="C145" s="40"/>
      <c r="D145" s="41"/>
      <c r="E145" s="42"/>
    </row>
    <row r="146" ht="15.75" customHeight="1">
      <c r="A146" s="39"/>
      <c r="B146" s="40"/>
      <c r="C146" s="40"/>
      <c r="D146" s="41"/>
      <c r="E146" s="42"/>
    </row>
    <row r="147" ht="15.75" customHeight="1">
      <c r="A147" s="39"/>
      <c r="B147" s="40"/>
      <c r="C147" s="40"/>
      <c r="D147" s="41"/>
      <c r="E147" s="42"/>
    </row>
    <row r="148" ht="15.75" customHeight="1">
      <c r="A148" s="39"/>
      <c r="B148" s="40"/>
      <c r="C148" s="40"/>
      <c r="D148" s="41"/>
      <c r="E148" s="42"/>
    </row>
    <row r="149" ht="15.75" customHeight="1">
      <c r="A149" s="39"/>
      <c r="B149" s="40"/>
      <c r="C149" s="40"/>
      <c r="D149" s="41"/>
      <c r="E149" s="42"/>
    </row>
    <row r="150" ht="15.75" customHeight="1">
      <c r="A150" s="39"/>
      <c r="B150" s="40"/>
      <c r="C150" s="40"/>
      <c r="D150" s="41"/>
      <c r="E150" s="42"/>
    </row>
    <row r="151" ht="15.75" customHeight="1">
      <c r="A151" s="39"/>
      <c r="B151" s="40"/>
      <c r="C151" s="40"/>
      <c r="D151" s="41"/>
      <c r="E151" s="42"/>
    </row>
    <row r="152" ht="15.75" customHeight="1">
      <c r="A152" s="39"/>
      <c r="B152" s="40"/>
      <c r="C152" s="40"/>
      <c r="D152" s="41"/>
      <c r="E152" s="42"/>
    </row>
    <row r="153" ht="15.75" customHeight="1">
      <c r="A153" s="39"/>
      <c r="B153" s="40"/>
      <c r="C153" s="40"/>
      <c r="D153" s="41"/>
      <c r="E153" s="42"/>
    </row>
    <row r="154" ht="15.75" customHeight="1">
      <c r="A154" s="39"/>
      <c r="B154" s="40"/>
      <c r="C154" s="40"/>
      <c r="D154" s="41"/>
      <c r="E154" s="42"/>
    </row>
    <row r="155" ht="15.75" customHeight="1">
      <c r="A155" s="39"/>
      <c r="B155" s="40"/>
      <c r="C155" s="40"/>
      <c r="D155" s="41"/>
      <c r="E155" s="42"/>
    </row>
    <row r="156" ht="15.75" customHeight="1">
      <c r="A156" s="39"/>
      <c r="B156" s="40"/>
      <c r="C156" s="40"/>
      <c r="D156" s="41"/>
      <c r="E156" s="42"/>
    </row>
    <row r="157" ht="15.75" customHeight="1">
      <c r="A157" s="39"/>
      <c r="B157" s="40"/>
      <c r="C157" s="40"/>
      <c r="D157" s="41"/>
      <c r="E157" s="42"/>
    </row>
    <row r="158" ht="15.75" customHeight="1">
      <c r="A158" s="39"/>
      <c r="B158" s="40"/>
      <c r="C158" s="40"/>
      <c r="D158" s="41"/>
      <c r="E158" s="42"/>
    </row>
    <row r="159" ht="15.75" customHeight="1">
      <c r="A159" s="39"/>
      <c r="B159" s="40"/>
      <c r="C159" s="40"/>
      <c r="D159" s="41"/>
      <c r="E159" s="42"/>
    </row>
    <row r="160" ht="15.75" customHeight="1">
      <c r="A160" s="39"/>
      <c r="B160" s="40"/>
      <c r="C160" s="40"/>
      <c r="D160" s="41"/>
      <c r="E160" s="42"/>
    </row>
    <row r="161" ht="15.75" customHeight="1">
      <c r="A161" s="39"/>
      <c r="B161" s="40"/>
      <c r="C161" s="40"/>
      <c r="D161" s="41"/>
      <c r="E161" s="42"/>
    </row>
    <row r="162" ht="15.75" customHeight="1">
      <c r="A162" s="39"/>
      <c r="B162" s="40"/>
      <c r="C162" s="40"/>
      <c r="D162" s="41"/>
      <c r="E162" s="42"/>
    </row>
    <row r="163" ht="15.75" customHeight="1">
      <c r="A163" s="39"/>
      <c r="B163" s="40"/>
      <c r="C163" s="40"/>
      <c r="D163" s="41"/>
      <c r="E163" s="42"/>
    </row>
    <row r="164" ht="15.75" customHeight="1">
      <c r="A164" s="39"/>
      <c r="B164" s="40"/>
      <c r="C164" s="40"/>
      <c r="D164" s="41"/>
      <c r="E164" s="42"/>
    </row>
    <row r="165" ht="15.75" customHeight="1">
      <c r="A165" s="39"/>
      <c r="B165" s="40"/>
      <c r="C165" s="40"/>
      <c r="D165" s="41"/>
      <c r="E165" s="42"/>
    </row>
    <row r="166" ht="15.75" customHeight="1">
      <c r="A166" s="39"/>
      <c r="B166" s="40"/>
      <c r="C166" s="40"/>
      <c r="D166" s="41"/>
      <c r="E166" s="42"/>
    </row>
    <row r="167" ht="15.75" customHeight="1">
      <c r="A167" s="39"/>
      <c r="B167" s="40"/>
      <c r="C167" s="40"/>
      <c r="D167" s="41"/>
      <c r="E167" s="42"/>
    </row>
    <row r="168" ht="15.75" customHeight="1">
      <c r="A168" s="39"/>
      <c r="B168" s="40"/>
      <c r="C168" s="40"/>
      <c r="D168" s="41"/>
      <c r="E168" s="42"/>
    </row>
    <row r="169" ht="15.75" customHeight="1">
      <c r="A169" s="39"/>
      <c r="B169" s="40"/>
      <c r="C169" s="40"/>
      <c r="D169" s="41"/>
      <c r="E169" s="42"/>
    </row>
    <row r="170" ht="15.75" customHeight="1">
      <c r="A170" s="39"/>
      <c r="B170" s="40"/>
      <c r="C170" s="40"/>
      <c r="D170" s="41"/>
      <c r="E170" s="42"/>
    </row>
    <row r="171" ht="15.75" customHeight="1">
      <c r="A171" s="39"/>
      <c r="B171" s="40"/>
      <c r="C171" s="40"/>
      <c r="D171" s="41"/>
      <c r="E171" s="42"/>
    </row>
    <row r="172" ht="15.75" customHeight="1">
      <c r="A172" s="39"/>
      <c r="B172" s="40"/>
      <c r="C172" s="40"/>
      <c r="D172" s="41"/>
      <c r="E172" s="42"/>
    </row>
    <row r="173" ht="15.75" customHeight="1">
      <c r="A173" s="39"/>
      <c r="B173" s="40"/>
      <c r="C173" s="40"/>
      <c r="D173" s="41"/>
      <c r="E173" s="42"/>
    </row>
    <row r="174" ht="15.75" customHeight="1">
      <c r="A174" s="39"/>
      <c r="B174" s="40"/>
      <c r="C174" s="40"/>
      <c r="D174" s="41"/>
      <c r="E174" s="42"/>
    </row>
    <row r="175" ht="15.75" customHeight="1">
      <c r="A175" s="39"/>
      <c r="B175" s="40"/>
      <c r="C175" s="40"/>
      <c r="D175" s="41"/>
      <c r="E175" s="42"/>
    </row>
    <row r="176" ht="15.75" customHeight="1">
      <c r="A176" s="39"/>
      <c r="B176" s="40"/>
      <c r="C176" s="40"/>
      <c r="D176" s="41"/>
      <c r="E176" s="42"/>
    </row>
    <row r="177" ht="15.75" customHeight="1">
      <c r="A177" s="39"/>
      <c r="B177" s="40"/>
      <c r="C177" s="40"/>
      <c r="D177" s="41"/>
      <c r="E177" s="42"/>
    </row>
    <row r="178" ht="15.75" customHeight="1">
      <c r="A178" s="39"/>
      <c r="B178" s="40"/>
      <c r="C178" s="40"/>
      <c r="D178" s="41"/>
      <c r="E178" s="42"/>
    </row>
    <row r="179" ht="15.75" customHeight="1">
      <c r="A179" s="39"/>
      <c r="B179" s="40"/>
      <c r="C179" s="40"/>
      <c r="D179" s="41"/>
      <c r="E179" s="42"/>
    </row>
    <row r="180" ht="15.75" customHeight="1">
      <c r="A180" s="39"/>
      <c r="B180" s="40"/>
      <c r="C180" s="40"/>
      <c r="D180" s="41"/>
      <c r="E180" s="42"/>
    </row>
    <row r="181" ht="15.75" customHeight="1">
      <c r="A181" s="39"/>
      <c r="B181" s="40"/>
      <c r="C181" s="40"/>
      <c r="D181" s="41"/>
      <c r="E181" s="42"/>
    </row>
    <row r="182" ht="15.75" customHeight="1">
      <c r="A182" s="39"/>
      <c r="B182" s="40"/>
      <c r="C182" s="40"/>
      <c r="D182" s="41"/>
      <c r="E182" s="42"/>
    </row>
    <row r="183" ht="15.75" customHeight="1">
      <c r="A183" s="39"/>
      <c r="B183" s="40"/>
      <c r="C183" s="40"/>
      <c r="D183" s="41"/>
      <c r="E183" s="42"/>
    </row>
    <row r="184" ht="15.75" customHeight="1">
      <c r="A184" s="39"/>
      <c r="B184" s="40"/>
      <c r="C184" s="40"/>
      <c r="D184" s="41"/>
      <c r="E184" s="42"/>
    </row>
    <row r="185" ht="15.75" customHeight="1">
      <c r="A185" s="39"/>
      <c r="B185" s="40"/>
      <c r="C185" s="40"/>
      <c r="D185" s="41"/>
      <c r="E185" s="42"/>
    </row>
    <row r="186" ht="15.75" customHeight="1">
      <c r="A186" s="39"/>
      <c r="B186" s="40"/>
      <c r="C186" s="40"/>
      <c r="D186" s="41"/>
      <c r="E186" s="42"/>
    </row>
    <row r="187" ht="15.75" customHeight="1">
      <c r="A187" s="39"/>
      <c r="B187" s="40"/>
      <c r="C187" s="40"/>
      <c r="D187" s="41"/>
      <c r="E187" s="42"/>
    </row>
    <row r="188" ht="15.75" customHeight="1">
      <c r="A188" s="39"/>
      <c r="B188" s="40"/>
      <c r="C188" s="40"/>
      <c r="D188" s="41"/>
      <c r="E188" s="42"/>
    </row>
    <row r="189" ht="15.75" customHeight="1">
      <c r="A189" s="39"/>
      <c r="B189" s="40"/>
      <c r="C189" s="40"/>
      <c r="D189" s="41"/>
      <c r="E189" s="42"/>
    </row>
    <row r="190" ht="15.75" customHeight="1">
      <c r="A190" s="39"/>
      <c r="B190" s="40"/>
      <c r="C190" s="40"/>
      <c r="D190" s="41"/>
      <c r="E190" s="42"/>
    </row>
    <row r="191" ht="15.75" customHeight="1">
      <c r="A191" s="39"/>
      <c r="B191" s="40"/>
      <c r="C191" s="40"/>
      <c r="D191" s="41"/>
      <c r="E191" s="42"/>
    </row>
    <row r="192" ht="15.75" customHeight="1">
      <c r="A192" s="39"/>
      <c r="B192" s="40"/>
      <c r="C192" s="40"/>
      <c r="D192" s="41"/>
      <c r="E192" s="42"/>
    </row>
    <row r="193" ht="15.75" customHeight="1">
      <c r="A193" s="39"/>
      <c r="B193" s="40"/>
      <c r="C193" s="40"/>
      <c r="D193" s="41"/>
      <c r="E193" s="42"/>
    </row>
    <row r="194" ht="15.75" customHeight="1">
      <c r="A194" s="39"/>
      <c r="B194" s="40"/>
      <c r="C194" s="40"/>
      <c r="D194" s="41"/>
      <c r="E194" s="42"/>
    </row>
    <row r="195" ht="15.75" customHeight="1">
      <c r="A195" s="39"/>
      <c r="B195" s="40"/>
      <c r="C195" s="40"/>
      <c r="D195" s="41"/>
      <c r="E195" s="42"/>
    </row>
    <row r="196" ht="15.75" customHeight="1">
      <c r="A196" s="39"/>
      <c r="B196" s="40"/>
      <c r="C196" s="40"/>
      <c r="D196" s="41"/>
      <c r="E196" s="42"/>
    </row>
    <row r="197" ht="15.75" customHeight="1">
      <c r="A197" s="39"/>
      <c r="B197" s="40"/>
      <c r="C197" s="40"/>
      <c r="D197" s="41"/>
      <c r="E197" s="42"/>
    </row>
    <row r="198" ht="15.75" customHeight="1">
      <c r="A198" s="39"/>
      <c r="B198" s="40"/>
      <c r="C198" s="40"/>
      <c r="D198" s="41"/>
      <c r="E198" s="42"/>
    </row>
    <row r="199" ht="15.75" customHeight="1">
      <c r="A199" s="39"/>
      <c r="B199" s="40"/>
      <c r="C199" s="40"/>
      <c r="D199" s="41"/>
      <c r="E199" s="42"/>
    </row>
    <row r="200" ht="15.75" customHeight="1">
      <c r="A200" s="39"/>
      <c r="B200" s="40"/>
      <c r="C200" s="40"/>
      <c r="D200" s="41"/>
      <c r="E200" s="42"/>
    </row>
    <row r="201" ht="15.75" customHeight="1">
      <c r="A201" s="39"/>
      <c r="B201" s="40"/>
      <c r="C201" s="40"/>
      <c r="D201" s="41"/>
      <c r="E201" s="42"/>
    </row>
    <row r="202" ht="15.75" customHeight="1">
      <c r="A202" s="39"/>
      <c r="B202" s="40"/>
      <c r="C202" s="40"/>
      <c r="D202" s="41"/>
      <c r="E202" s="42"/>
    </row>
    <row r="203" ht="15.75" customHeight="1">
      <c r="A203" s="39"/>
      <c r="B203" s="40"/>
      <c r="C203" s="40"/>
      <c r="D203" s="41"/>
      <c r="E203" s="42"/>
    </row>
    <row r="204" ht="15.75" customHeight="1">
      <c r="A204" s="39"/>
      <c r="B204" s="40"/>
      <c r="C204" s="40"/>
      <c r="D204" s="41"/>
      <c r="E204" s="42"/>
    </row>
    <row r="205" ht="15.75" customHeight="1">
      <c r="A205" s="39"/>
      <c r="B205" s="40"/>
      <c r="C205" s="40"/>
      <c r="D205" s="41"/>
      <c r="E205" s="42"/>
    </row>
    <row r="206" ht="15.75" customHeight="1">
      <c r="A206" s="39"/>
      <c r="B206" s="40"/>
      <c r="C206" s="40"/>
      <c r="D206" s="41"/>
      <c r="E206" s="42"/>
    </row>
    <row r="207" ht="15.75" customHeight="1">
      <c r="A207" s="39"/>
      <c r="B207" s="40"/>
      <c r="C207" s="40"/>
      <c r="D207" s="41"/>
      <c r="E207" s="42"/>
    </row>
    <row r="208" ht="15.75" customHeight="1">
      <c r="A208" s="39"/>
      <c r="B208" s="40"/>
      <c r="C208" s="40"/>
      <c r="D208" s="41"/>
      <c r="E208" s="42"/>
    </row>
    <row r="209" ht="15.75" customHeight="1">
      <c r="A209" s="39"/>
      <c r="B209" s="40"/>
      <c r="C209" s="40"/>
      <c r="D209" s="41"/>
      <c r="E209" s="42"/>
    </row>
    <row r="210" ht="15.75" customHeight="1">
      <c r="A210" s="39"/>
      <c r="B210" s="40"/>
      <c r="C210" s="40"/>
      <c r="D210" s="41"/>
      <c r="E210" s="42"/>
    </row>
    <row r="211" ht="15.75" customHeight="1">
      <c r="A211" s="39"/>
      <c r="B211" s="40"/>
      <c r="C211" s="40"/>
      <c r="D211" s="41"/>
      <c r="E211" s="42"/>
    </row>
    <row r="212" ht="15.75" customHeight="1">
      <c r="A212" s="39"/>
      <c r="B212" s="40"/>
      <c r="C212" s="40"/>
      <c r="D212" s="41"/>
      <c r="E212" s="42"/>
    </row>
    <row r="213" ht="15.75" customHeight="1">
      <c r="A213" s="39"/>
      <c r="B213" s="40"/>
      <c r="C213" s="40"/>
      <c r="D213" s="41"/>
      <c r="E213" s="42"/>
    </row>
    <row r="214" ht="15.75" customHeight="1">
      <c r="A214" s="39"/>
      <c r="B214" s="40"/>
      <c r="C214" s="40"/>
      <c r="D214" s="41"/>
      <c r="E214" s="42"/>
    </row>
    <row r="215" ht="15.75" customHeight="1">
      <c r="A215" s="39"/>
      <c r="B215" s="40"/>
      <c r="C215" s="40"/>
      <c r="D215" s="41"/>
      <c r="E215" s="42"/>
    </row>
    <row r="216" ht="15.75" customHeight="1">
      <c r="A216" s="39"/>
      <c r="B216" s="40"/>
      <c r="C216" s="40"/>
      <c r="D216" s="41"/>
      <c r="E216" s="42"/>
    </row>
    <row r="217" ht="15.75" customHeight="1">
      <c r="A217" s="39"/>
      <c r="B217" s="40"/>
      <c r="C217" s="40"/>
      <c r="D217" s="41"/>
      <c r="E217" s="42"/>
    </row>
    <row r="218" ht="15.75" customHeight="1">
      <c r="A218" s="39"/>
      <c r="B218" s="40"/>
      <c r="C218" s="40"/>
      <c r="D218" s="41"/>
      <c r="E218" s="42"/>
    </row>
    <row r="219" ht="15.75" customHeight="1">
      <c r="A219" s="39"/>
      <c r="B219" s="40"/>
      <c r="C219" s="40"/>
      <c r="D219" s="41"/>
      <c r="E219" s="42"/>
    </row>
    <row r="220" ht="15.75" customHeight="1">
      <c r="A220" s="39"/>
      <c r="B220" s="40"/>
      <c r="C220" s="40"/>
      <c r="D220" s="41"/>
      <c r="E220" s="42"/>
    </row>
    <row r="221" ht="15.75" customHeight="1">
      <c r="A221" s="39"/>
      <c r="B221" s="40"/>
      <c r="C221" s="40"/>
      <c r="D221" s="41"/>
      <c r="E221" s="42"/>
    </row>
    <row r="222" ht="15.75" customHeight="1">
      <c r="A222" s="39"/>
      <c r="B222" s="40"/>
      <c r="C222" s="40"/>
      <c r="D222" s="41"/>
      <c r="E222" s="42"/>
    </row>
    <row r="223" ht="15.75" customHeight="1">
      <c r="A223" s="39"/>
      <c r="B223" s="40"/>
      <c r="C223" s="40"/>
      <c r="D223" s="41"/>
      <c r="E223" s="42"/>
    </row>
    <row r="224" ht="15.75" customHeight="1">
      <c r="A224" s="39"/>
      <c r="B224" s="40"/>
      <c r="C224" s="40"/>
      <c r="D224" s="41"/>
      <c r="E224" s="42"/>
    </row>
    <row r="225" ht="15.75" customHeight="1">
      <c r="A225" s="39"/>
      <c r="B225" s="40"/>
      <c r="C225" s="40"/>
      <c r="D225" s="41"/>
      <c r="E225" s="42"/>
    </row>
    <row r="226" ht="15.75" customHeight="1">
      <c r="A226" s="63"/>
      <c r="B226" s="64"/>
      <c r="C226" s="35"/>
      <c r="D226" s="41"/>
      <c r="E226" s="35"/>
    </row>
    <row r="227" ht="15.75" customHeight="1">
      <c r="A227" s="63"/>
      <c r="B227" s="64"/>
      <c r="C227" s="35"/>
      <c r="D227" s="41"/>
      <c r="E227" s="35"/>
    </row>
    <row r="228" ht="15.75" customHeight="1">
      <c r="A228" s="63"/>
      <c r="B228" s="64"/>
      <c r="C228" s="35"/>
      <c r="D228" s="41"/>
      <c r="E228" s="35"/>
    </row>
    <row r="229" ht="15.75" customHeight="1">
      <c r="A229" s="63"/>
      <c r="B229" s="64"/>
      <c r="C229" s="35"/>
      <c r="D229" s="41"/>
      <c r="E229" s="35"/>
    </row>
    <row r="230" ht="15.75" customHeight="1">
      <c r="A230" s="63"/>
      <c r="B230" s="64"/>
      <c r="C230" s="35"/>
      <c r="D230" s="41"/>
      <c r="E230" s="35"/>
    </row>
    <row r="231" ht="15.75" customHeight="1">
      <c r="A231" s="63"/>
      <c r="B231" s="64"/>
      <c r="C231" s="35"/>
      <c r="D231" s="41"/>
      <c r="E231" s="35"/>
    </row>
    <row r="232" ht="15.75" customHeight="1">
      <c r="A232" s="63"/>
      <c r="B232" s="64"/>
      <c r="C232" s="35"/>
      <c r="D232" s="41"/>
      <c r="E232" s="35"/>
    </row>
    <row r="233" ht="15.75" customHeight="1">
      <c r="A233" s="63"/>
      <c r="B233" s="64"/>
      <c r="C233" s="35"/>
      <c r="D233" s="41"/>
      <c r="E233" s="35"/>
    </row>
    <row r="234" ht="15.75" customHeight="1">
      <c r="A234" s="63"/>
      <c r="B234" s="64"/>
      <c r="C234" s="35"/>
      <c r="D234" s="41"/>
      <c r="E234" s="35"/>
    </row>
    <row r="235" ht="15.75" customHeight="1">
      <c r="A235" s="63"/>
      <c r="B235" s="64"/>
      <c r="C235" s="35"/>
      <c r="D235" s="41"/>
      <c r="E235" s="35"/>
    </row>
    <row r="236" ht="15.75" customHeight="1">
      <c r="A236" s="63"/>
      <c r="B236" s="64"/>
      <c r="C236" s="35"/>
      <c r="D236" s="41"/>
      <c r="E236" s="35"/>
    </row>
    <row r="237" ht="15.75" customHeight="1">
      <c r="A237" s="63"/>
      <c r="B237" s="64"/>
      <c r="C237" s="35"/>
      <c r="D237" s="41"/>
      <c r="E237" s="35"/>
    </row>
    <row r="238" ht="15.75" customHeight="1">
      <c r="A238" s="63"/>
      <c r="B238" s="64"/>
      <c r="C238" s="35"/>
      <c r="D238" s="41"/>
      <c r="E238" s="35"/>
    </row>
    <row r="239" ht="15.75" customHeight="1">
      <c r="A239" s="63"/>
      <c r="B239" s="64"/>
      <c r="C239" s="35"/>
      <c r="D239" s="41"/>
      <c r="E239" s="35"/>
    </row>
    <row r="240" ht="15.75" customHeight="1">
      <c r="A240" s="63"/>
      <c r="B240" s="64"/>
      <c r="C240" s="35"/>
      <c r="D240" s="41"/>
      <c r="E240" s="35"/>
    </row>
    <row r="241" ht="15.75" customHeight="1">
      <c r="A241" s="63"/>
      <c r="B241" s="64"/>
      <c r="C241" s="35"/>
      <c r="D241" s="41"/>
      <c r="E241" s="35"/>
    </row>
    <row r="242" ht="15.75" customHeight="1">
      <c r="A242" s="63"/>
      <c r="B242" s="64"/>
      <c r="C242" s="35"/>
      <c r="D242" s="41"/>
      <c r="E242" s="35"/>
    </row>
    <row r="243" ht="15.75" customHeight="1">
      <c r="A243" s="63"/>
      <c r="B243" s="64"/>
      <c r="C243" s="35"/>
      <c r="D243" s="41"/>
      <c r="E243" s="35"/>
    </row>
    <row r="244" ht="15.75" customHeight="1">
      <c r="A244" s="63"/>
      <c r="B244" s="64"/>
      <c r="C244" s="35"/>
      <c r="D244" s="41"/>
      <c r="E244" s="35"/>
    </row>
    <row r="245" ht="15.75" customHeight="1">
      <c r="A245" s="63"/>
      <c r="B245" s="64"/>
      <c r="C245" s="35"/>
      <c r="D245" s="41"/>
      <c r="E245" s="35"/>
    </row>
    <row r="246" ht="15.75" customHeight="1">
      <c r="A246" s="63"/>
      <c r="B246" s="64"/>
      <c r="C246" s="35"/>
      <c r="D246" s="41"/>
      <c r="E246" s="35"/>
    </row>
    <row r="247" ht="15.75" customHeight="1">
      <c r="A247" s="63"/>
      <c r="B247" s="64"/>
      <c r="C247" s="35"/>
      <c r="D247" s="41"/>
      <c r="E247" s="35"/>
    </row>
    <row r="248" ht="15.75" customHeight="1">
      <c r="A248" s="63"/>
      <c r="B248" s="64"/>
      <c r="C248" s="35"/>
      <c r="D248" s="41"/>
      <c r="E248" s="35"/>
    </row>
    <row r="249" ht="15.75" customHeight="1">
      <c r="A249" s="63"/>
      <c r="B249" s="64"/>
      <c r="C249" s="35"/>
      <c r="D249" s="41"/>
      <c r="E249" s="35"/>
    </row>
    <row r="250" ht="15.75" customHeight="1">
      <c r="A250" s="63"/>
      <c r="B250" s="64"/>
      <c r="C250" s="35"/>
      <c r="D250" s="41"/>
      <c r="E250" s="35"/>
    </row>
    <row r="251" ht="15.75" customHeight="1">
      <c r="A251" s="63"/>
      <c r="B251" s="64"/>
      <c r="C251" s="35"/>
      <c r="D251" s="41"/>
      <c r="E251" s="35"/>
    </row>
    <row r="252" ht="15.75" customHeight="1">
      <c r="A252" s="63"/>
      <c r="B252" s="64"/>
      <c r="C252" s="35"/>
      <c r="D252" s="41"/>
      <c r="E252" s="35"/>
    </row>
    <row r="253" ht="15.75" customHeight="1">
      <c r="A253" s="63"/>
      <c r="B253" s="64"/>
      <c r="C253" s="35"/>
      <c r="D253" s="41"/>
      <c r="E253" s="35"/>
    </row>
    <row r="254" ht="15.75" customHeight="1">
      <c r="A254" s="63"/>
      <c r="B254" s="64"/>
      <c r="C254" s="35"/>
      <c r="D254" s="41"/>
      <c r="E254" s="35"/>
    </row>
    <row r="255" ht="15.75" customHeight="1">
      <c r="A255" s="63"/>
      <c r="B255" s="64"/>
      <c r="C255" s="35"/>
      <c r="D255" s="41"/>
      <c r="E255" s="35"/>
    </row>
    <row r="256" ht="15.75" customHeight="1">
      <c r="A256" s="63"/>
      <c r="B256" s="64"/>
      <c r="C256" s="35"/>
      <c r="D256" s="41"/>
      <c r="E256" s="35"/>
    </row>
    <row r="257" ht="15.75" customHeight="1">
      <c r="A257" s="63"/>
      <c r="B257" s="64"/>
      <c r="C257" s="35"/>
      <c r="D257" s="41"/>
      <c r="E257" s="35"/>
    </row>
    <row r="258" ht="15.75" customHeight="1">
      <c r="A258" s="63"/>
      <c r="B258" s="64"/>
      <c r="C258" s="35"/>
      <c r="D258" s="41"/>
      <c r="E258" s="35"/>
    </row>
    <row r="259" ht="15.75" customHeight="1">
      <c r="A259" s="63"/>
      <c r="B259" s="64"/>
      <c r="C259" s="35"/>
      <c r="D259" s="41"/>
      <c r="E259" s="35"/>
    </row>
    <row r="260" ht="15.75" customHeight="1">
      <c r="A260" s="63"/>
      <c r="B260" s="64"/>
      <c r="C260" s="35"/>
      <c r="D260" s="41"/>
      <c r="E260" s="35"/>
    </row>
    <row r="261" ht="15.75" customHeight="1">
      <c r="A261" s="63"/>
      <c r="B261" s="64"/>
      <c r="C261" s="35"/>
      <c r="D261" s="41"/>
      <c r="E261" s="35"/>
    </row>
    <row r="262" ht="15.75" customHeight="1">
      <c r="A262" s="63"/>
      <c r="B262" s="64"/>
      <c r="C262" s="35"/>
      <c r="D262" s="41"/>
      <c r="E262" s="35"/>
    </row>
    <row r="263" ht="15.75" customHeight="1">
      <c r="A263" s="63"/>
      <c r="B263" s="64"/>
      <c r="C263" s="35"/>
      <c r="D263" s="41"/>
      <c r="E263" s="35"/>
    </row>
    <row r="264" ht="15.75" customHeight="1">
      <c r="A264" s="63"/>
      <c r="B264" s="64"/>
      <c r="C264" s="35"/>
      <c r="D264" s="41"/>
      <c r="E264" s="35"/>
    </row>
    <row r="265" ht="15.75" customHeight="1">
      <c r="A265" s="63"/>
      <c r="B265" s="64"/>
      <c r="C265" s="35"/>
      <c r="D265" s="41"/>
      <c r="E265" s="35"/>
    </row>
    <row r="266" ht="15.75" customHeight="1">
      <c r="A266" s="63"/>
      <c r="B266" s="64"/>
      <c r="C266" s="35"/>
      <c r="D266" s="41"/>
      <c r="E266" s="35"/>
    </row>
    <row r="267" ht="15.75" customHeight="1">
      <c r="A267" s="63"/>
      <c r="B267" s="64"/>
      <c r="C267" s="35"/>
      <c r="D267" s="41"/>
      <c r="E267" s="35"/>
    </row>
    <row r="268" ht="15.75" customHeight="1">
      <c r="A268" s="63"/>
      <c r="B268" s="64"/>
      <c r="C268" s="35"/>
      <c r="D268" s="41"/>
      <c r="E268" s="35"/>
    </row>
    <row r="269" ht="15.75" customHeight="1">
      <c r="A269" s="63"/>
      <c r="B269" s="64"/>
      <c r="C269" s="35"/>
      <c r="D269" s="41"/>
      <c r="E269" s="35"/>
    </row>
    <row r="270" ht="15.75" customHeight="1">
      <c r="A270" s="63"/>
      <c r="B270" s="64"/>
      <c r="C270" s="35"/>
      <c r="D270" s="41"/>
      <c r="E270" s="35"/>
    </row>
    <row r="271" ht="15.75" customHeight="1">
      <c r="A271" s="63"/>
      <c r="B271" s="64"/>
      <c r="C271" s="35"/>
      <c r="D271" s="41"/>
      <c r="E271" s="35"/>
    </row>
    <row r="272" ht="15.75" customHeight="1">
      <c r="A272" s="63"/>
      <c r="B272" s="64"/>
      <c r="C272" s="35"/>
      <c r="D272" s="41"/>
      <c r="E272" s="35"/>
    </row>
    <row r="273" ht="15.75" customHeight="1">
      <c r="A273" s="63"/>
      <c r="B273" s="64"/>
      <c r="C273" s="35"/>
      <c r="D273" s="41"/>
      <c r="E273" s="35"/>
    </row>
    <row r="274" ht="15.75" customHeight="1">
      <c r="A274" s="63"/>
      <c r="B274" s="64"/>
      <c r="C274" s="35"/>
      <c r="D274" s="41"/>
      <c r="E274" s="35"/>
    </row>
    <row r="275" ht="15.75" customHeight="1">
      <c r="A275" s="63"/>
      <c r="B275" s="64"/>
      <c r="C275" s="35"/>
      <c r="D275" s="41"/>
      <c r="E275" s="35"/>
    </row>
    <row r="276" ht="15.75" customHeight="1">
      <c r="A276" s="63"/>
      <c r="B276" s="64"/>
      <c r="C276" s="35"/>
      <c r="D276" s="41"/>
      <c r="E276" s="35"/>
    </row>
    <row r="277" ht="15.75" customHeight="1">
      <c r="A277" s="63"/>
      <c r="B277" s="64"/>
      <c r="C277" s="35"/>
      <c r="D277" s="41"/>
      <c r="E277" s="35"/>
    </row>
    <row r="278" ht="15.75" customHeight="1">
      <c r="A278" s="63"/>
      <c r="B278" s="64"/>
      <c r="C278" s="35"/>
      <c r="D278" s="41"/>
      <c r="E278" s="35"/>
    </row>
    <row r="279" ht="15.75" customHeight="1">
      <c r="A279" s="63"/>
      <c r="B279" s="64"/>
      <c r="C279" s="35"/>
      <c r="D279" s="41"/>
      <c r="E279" s="35"/>
    </row>
    <row r="280" ht="15.75" customHeight="1">
      <c r="A280" s="63"/>
      <c r="B280" s="64"/>
      <c r="C280" s="35"/>
      <c r="D280" s="41"/>
      <c r="E280" s="35"/>
    </row>
    <row r="281" ht="15.75" customHeight="1">
      <c r="A281" s="63"/>
      <c r="B281" s="64"/>
      <c r="C281" s="35"/>
      <c r="D281" s="41"/>
      <c r="E281" s="35"/>
    </row>
    <row r="282" ht="15.75" customHeight="1">
      <c r="A282" s="63"/>
      <c r="B282" s="64"/>
      <c r="C282" s="35"/>
      <c r="D282" s="41"/>
      <c r="E282" s="35"/>
    </row>
    <row r="283" ht="15.75" customHeight="1">
      <c r="A283" s="63"/>
      <c r="B283" s="64"/>
      <c r="C283" s="35"/>
      <c r="D283" s="41"/>
      <c r="E283" s="35"/>
    </row>
    <row r="284" ht="15.75" customHeight="1">
      <c r="A284" s="63"/>
      <c r="B284" s="64"/>
      <c r="C284" s="35"/>
      <c r="D284" s="41"/>
      <c r="E284" s="35"/>
    </row>
    <row r="285" ht="15.75" customHeight="1">
      <c r="A285" s="63"/>
      <c r="B285" s="64"/>
      <c r="C285" s="35"/>
      <c r="D285" s="41"/>
      <c r="E285" s="35"/>
    </row>
    <row r="286" ht="15.75" customHeight="1">
      <c r="A286" s="63"/>
      <c r="B286" s="64"/>
      <c r="C286" s="35"/>
      <c r="D286" s="41"/>
      <c r="E286" s="35"/>
    </row>
    <row r="287" ht="15.75" customHeight="1">
      <c r="A287" s="63"/>
      <c r="B287" s="64"/>
      <c r="C287" s="35"/>
      <c r="D287" s="41"/>
      <c r="E287" s="35"/>
    </row>
    <row r="288" ht="15.75" customHeight="1">
      <c r="A288" s="63"/>
      <c r="B288" s="64"/>
      <c r="C288" s="35"/>
      <c r="D288" s="41"/>
      <c r="E288" s="35"/>
    </row>
    <row r="289" ht="15.75" customHeight="1">
      <c r="A289" s="63"/>
      <c r="B289" s="64"/>
      <c r="C289" s="35"/>
      <c r="D289" s="41"/>
      <c r="E289" s="35"/>
    </row>
    <row r="290" ht="15.75" customHeight="1">
      <c r="A290" s="63"/>
      <c r="B290" s="64"/>
      <c r="C290" s="35"/>
      <c r="D290" s="41"/>
      <c r="E290" s="35"/>
    </row>
    <row r="291" ht="15.75" customHeight="1">
      <c r="A291" s="63"/>
      <c r="B291" s="64"/>
      <c r="C291" s="35"/>
      <c r="D291" s="41"/>
      <c r="E291" s="35"/>
    </row>
    <row r="292" ht="15.75" customHeight="1">
      <c r="A292" s="63"/>
      <c r="B292" s="64"/>
      <c r="C292" s="35"/>
      <c r="D292" s="41"/>
      <c r="E292" s="35"/>
    </row>
    <row r="293" ht="15.75" customHeight="1">
      <c r="A293" s="63"/>
      <c r="B293" s="64"/>
      <c r="C293" s="35"/>
      <c r="D293" s="41"/>
      <c r="E293" s="35"/>
    </row>
    <row r="294" ht="15.75" customHeight="1">
      <c r="A294" s="63"/>
      <c r="B294" s="64"/>
      <c r="C294" s="35"/>
      <c r="D294" s="41"/>
      <c r="E294" s="35"/>
    </row>
    <row r="295" ht="15.75" customHeight="1">
      <c r="A295" s="63"/>
      <c r="B295" s="64"/>
      <c r="C295" s="35"/>
      <c r="D295" s="41"/>
      <c r="E295" s="35"/>
    </row>
    <row r="296" ht="15.75" customHeight="1">
      <c r="A296" s="63"/>
      <c r="B296" s="64"/>
      <c r="C296" s="35"/>
      <c r="D296" s="41"/>
      <c r="E296" s="35"/>
    </row>
    <row r="297" ht="15.75" customHeight="1">
      <c r="A297" s="63"/>
      <c r="B297" s="64"/>
      <c r="C297" s="35"/>
      <c r="D297" s="41"/>
      <c r="E297" s="35"/>
    </row>
    <row r="298" ht="15.75" customHeight="1">
      <c r="A298" s="63"/>
      <c r="B298" s="64"/>
      <c r="C298" s="35"/>
      <c r="D298" s="41"/>
      <c r="E298" s="35"/>
    </row>
    <row r="299" ht="15.75" customHeight="1">
      <c r="A299" s="63"/>
      <c r="B299" s="64"/>
      <c r="C299" s="35"/>
      <c r="D299" s="41"/>
      <c r="E299" s="35"/>
    </row>
    <row r="300" ht="15.75" customHeight="1">
      <c r="A300" s="63"/>
      <c r="B300" s="64"/>
      <c r="C300" s="35"/>
      <c r="D300" s="41"/>
      <c r="E300" s="35"/>
    </row>
    <row r="301" ht="15.75" customHeight="1">
      <c r="A301" s="63"/>
      <c r="B301" s="64"/>
      <c r="C301" s="35"/>
      <c r="D301" s="41"/>
      <c r="E301" s="35"/>
    </row>
    <row r="302" ht="15.75" customHeight="1">
      <c r="A302" s="63"/>
      <c r="B302" s="64"/>
      <c r="C302" s="35"/>
      <c r="D302" s="41"/>
      <c r="E302" s="35"/>
    </row>
    <row r="303" ht="15.75" customHeight="1">
      <c r="A303" s="63"/>
      <c r="B303" s="64"/>
      <c r="C303" s="35"/>
      <c r="D303" s="41"/>
      <c r="E303" s="35"/>
    </row>
    <row r="304" ht="15.75" customHeight="1">
      <c r="A304" s="63"/>
      <c r="B304" s="64"/>
      <c r="C304" s="35"/>
      <c r="D304" s="41"/>
      <c r="E304" s="35"/>
    </row>
    <row r="305" ht="15.75" customHeight="1">
      <c r="A305" s="63"/>
      <c r="B305" s="64"/>
      <c r="C305" s="35"/>
      <c r="D305" s="41"/>
      <c r="E305" s="35"/>
    </row>
    <row r="306" ht="15.75" customHeight="1">
      <c r="A306" s="63"/>
      <c r="B306" s="64"/>
      <c r="C306" s="35"/>
      <c r="D306" s="41"/>
      <c r="E306" s="35"/>
    </row>
    <row r="307" ht="15.75" customHeight="1">
      <c r="A307" s="63"/>
      <c r="B307" s="64"/>
      <c r="C307" s="35"/>
      <c r="D307" s="41"/>
      <c r="E307" s="35"/>
    </row>
    <row r="308" ht="15.75" customHeight="1">
      <c r="A308" s="63"/>
      <c r="B308" s="64"/>
      <c r="C308" s="35"/>
      <c r="D308" s="41"/>
      <c r="E308" s="35"/>
    </row>
    <row r="309" ht="15.75" customHeight="1">
      <c r="A309" s="63"/>
      <c r="B309" s="64"/>
      <c r="C309" s="35"/>
      <c r="D309" s="41"/>
      <c r="E309" s="35"/>
    </row>
    <row r="310" ht="15.75" customHeight="1">
      <c r="A310" s="63"/>
      <c r="B310" s="64"/>
      <c r="C310" s="35"/>
      <c r="D310" s="41"/>
      <c r="E310" s="35"/>
    </row>
    <row r="311" ht="15.75" customHeight="1">
      <c r="A311" s="63"/>
      <c r="B311" s="64"/>
      <c r="C311" s="35"/>
      <c r="D311" s="41"/>
      <c r="E311" s="35"/>
    </row>
    <row r="312" ht="15.75" customHeight="1">
      <c r="A312" s="63"/>
      <c r="B312" s="64"/>
      <c r="C312" s="35"/>
      <c r="D312" s="41"/>
      <c r="E312" s="35"/>
    </row>
    <row r="313" ht="15.75" customHeight="1">
      <c r="A313" s="63"/>
      <c r="B313" s="64"/>
      <c r="C313" s="35"/>
      <c r="D313" s="41"/>
      <c r="E313" s="35"/>
    </row>
    <row r="314" ht="15.75" customHeight="1">
      <c r="A314" s="63"/>
      <c r="B314" s="64"/>
      <c r="C314" s="35"/>
      <c r="D314" s="41"/>
      <c r="E314" s="35"/>
    </row>
    <row r="315" ht="15.75" customHeight="1">
      <c r="A315" s="63"/>
      <c r="B315" s="64"/>
      <c r="C315" s="35"/>
      <c r="D315" s="41"/>
      <c r="E315" s="35"/>
    </row>
    <row r="316" ht="15.75" customHeight="1">
      <c r="A316" s="63"/>
      <c r="B316" s="64"/>
      <c r="C316" s="35"/>
      <c r="D316" s="41"/>
      <c r="E316" s="35"/>
    </row>
    <row r="317" ht="15.75" customHeight="1">
      <c r="A317" s="63"/>
      <c r="B317" s="64"/>
      <c r="C317" s="35"/>
      <c r="D317" s="41"/>
      <c r="E317" s="35"/>
    </row>
    <row r="318" ht="15.75" customHeight="1">
      <c r="A318" s="63"/>
      <c r="B318" s="64"/>
      <c r="C318" s="35"/>
      <c r="D318" s="41"/>
      <c r="E318" s="35"/>
    </row>
    <row r="319" ht="15.75" customHeight="1">
      <c r="A319" s="63"/>
      <c r="B319" s="64"/>
      <c r="C319" s="35"/>
      <c r="D319" s="41"/>
      <c r="E319" s="35"/>
    </row>
    <row r="320" ht="15.75" customHeight="1">
      <c r="A320" s="63"/>
      <c r="B320" s="64"/>
      <c r="C320" s="35"/>
      <c r="D320" s="41"/>
      <c r="E320" s="35"/>
    </row>
    <row r="321" ht="15.75" customHeight="1">
      <c r="A321" s="63"/>
      <c r="B321" s="64"/>
      <c r="C321" s="35"/>
      <c r="D321" s="41"/>
      <c r="E321" s="35"/>
    </row>
    <row r="322" ht="15.75" customHeight="1">
      <c r="A322" s="63"/>
      <c r="B322" s="64"/>
      <c r="C322" s="35"/>
      <c r="D322" s="41"/>
      <c r="E322" s="35"/>
    </row>
    <row r="323" ht="15.75" customHeight="1">
      <c r="A323" s="63"/>
      <c r="B323" s="64"/>
      <c r="C323" s="35"/>
      <c r="D323" s="41"/>
      <c r="E323" s="35"/>
    </row>
    <row r="324" ht="15.75" customHeight="1">
      <c r="A324" s="63"/>
      <c r="B324" s="64"/>
      <c r="C324" s="35"/>
      <c r="D324" s="41"/>
      <c r="E324" s="35"/>
    </row>
    <row r="325" ht="15.75" customHeight="1">
      <c r="A325" s="63"/>
      <c r="B325" s="64"/>
      <c r="C325" s="35"/>
      <c r="D325" s="41"/>
      <c r="E325" s="35"/>
    </row>
    <row r="326" ht="15.75" customHeight="1">
      <c r="A326" s="63"/>
      <c r="B326" s="64"/>
      <c r="C326" s="35"/>
      <c r="D326" s="41"/>
      <c r="E326" s="35"/>
    </row>
    <row r="327" ht="15.75" customHeight="1">
      <c r="A327" s="63"/>
      <c r="B327" s="64"/>
      <c r="C327" s="35"/>
      <c r="D327" s="41"/>
      <c r="E327" s="35"/>
    </row>
    <row r="328" ht="15.75" customHeight="1">
      <c r="A328" s="63"/>
      <c r="B328" s="64"/>
      <c r="C328" s="35"/>
      <c r="D328" s="41"/>
      <c r="E328" s="35"/>
    </row>
    <row r="329" ht="15.75" customHeight="1">
      <c r="A329" s="63"/>
      <c r="B329" s="64"/>
      <c r="C329" s="35"/>
      <c r="D329" s="41"/>
      <c r="E329" s="35"/>
    </row>
    <row r="330" ht="15.75" customHeight="1">
      <c r="A330" s="63"/>
      <c r="B330" s="64"/>
      <c r="C330" s="35"/>
      <c r="D330" s="41"/>
      <c r="E330" s="35"/>
    </row>
    <row r="331" ht="15.75" customHeight="1">
      <c r="A331" s="63"/>
      <c r="B331" s="64"/>
      <c r="C331" s="35"/>
      <c r="D331" s="41"/>
      <c r="E331" s="35"/>
    </row>
    <row r="332" ht="15.75" customHeight="1">
      <c r="A332" s="63"/>
      <c r="B332" s="64"/>
      <c r="C332" s="35"/>
      <c r="D332" s="41"/>
      <c r="E332" s="35"/>
    </row>
    <row r="333" ht="15.75" customHeight="1">
      <c r="A333" s="63"/>
      <c r="B333" s="64"/>
      <c r="C333" s="35"/>
      <c r="D333" s="41"/>
      <c r="E333" s="35"/>
    </row>
    <row r="334" ht="15.75" customHeight="1">
      <c r="A334" s="63"/>
      <c r="B334" s="64"/>
      <c r="C334" s="35"/>
      <c r="D334" s="41"/>
      <c r="E334" s="35"/>
    </row>
    <row r="335" ht="15.75" customHeight="1">
      <c r="A335" s="63"/>
      <c r="B335" s="64"/>
      <c r="C335" s="35"/>
      <c r="D335" s="41"/>
      <c r="E335" s="35"/>
    </row>
    <row r="336" ht="15.75" customHeight="1">
      <c r="A336" s="63"/>
      <c r="B336" s="64"/>
      <c r="C336" s="35"/>
      <c r="D336" s="41"/>
      <c r="E336" s="35"/>
    </row>
    <row r="337" ht="15.75" customHeight="1">
      <c r="A337" s="63"/>
      <c r="B337" s="64"/>
      <c r="C337" s="35"/>
      <c r="D337" s="41"/>
      <c r="E337" s="35"/>
    </row>
    <row r="338" ht="15.75" customHeight="1">
      <c r="A338" s="63"/>
      <c r="B338" s="64"/>
      <c r="C338" s="35"/>
      <c r="D338" s="41"/>
      <c r="E338" s="35"/>
    </row>
    <row r="339" ht="15.75" customHeight="1">
      <c r="A339" s="63"/>
      <c r="B339" s="64"/>
      <c r="C339" s="35"/>
      <c r="D339" s="41"/>
      <c r="E339" s="35"/>
    </row>
    <row r="340" ht="15.75" customHeight="1">
      <c r="A340" s="63"/>
      <c r="B340" s="64"/>
      <c r="C340" s="35"/>
      <c r="D340" s="41"/>
      <c r="E340" s="35"/>
    </row>
    <row r="341" ht="15.75" customHeight="1">
      <c r="A341" s="63"/>
      <c r="B341" s="64"/>
      <c r="C341" s="35"/>
      <c r="D341" s="41"/>
      <c r="E341" s="35"/>
    </row>
    <row r="342" ht="15.75" customHeight="1">
      <c r="A342" s="63"/>
      <c r="B342" s="64"/>
      <c r="C342" s="35"/>
      <c r="D342" s="41"/>
      <c r="E342" s="35"/>
    </row>
    <row r="343" ht="15.75" customHeight="1">
      <c r="A343" s="63"/>
      <c r="B343" s="64"/>
      <c r="C343" s="35"/>
      <c r="D343" s="41"/>
      <c r="E343" s="35"/>
    </row>
    <row r="344" ht="15.75" customHeight="1">
      <c r="A344" s="63"/>
      <c r="B344" s="64"/>
      <c r="C344" s="35"/>
      <c r="D344" s="41"/>
      <c r="E344" s="35"/>
    </row>
    <row r="345" ht="15.75" customHeight="1">
      <c r="A345" s="63"/>
      <c r="B345" s="64"/>
      <c r="C345" s="35"/>
      <c r="D345" s="41"/>
      <c r="E345" s="35"/>
    </row>
    <row r="346" ht="15.75" customHeight="1">
      <c r="A346" s="63"/>
      <c r="B346" s="64"/>
      <c r="C346" s="35"/>
      <c r="D346" s="41"/>
      <c r="E346" s="35"/>
    </row>
    <row r="347" ht="15.75" customHeight="1">
      <c r="A347" s="63"/>
      <c r="B347" s="64"/>
      <c r="C347" s="35"/>
      <c r="D347" s="41"/>
      <c r="E347" s="35"/>
    </row>
    <row r="348" ht="15.75" customHeight="1">
      <c r="A348" s="63"/>
      <c r="B348" s="64"/>
      <c r="C348" s="35"/>
      <c r="D348" s="41"/>
      <c r="E348" s="35"/>
    </row>
    <row r="349" ht="15.75" customHeight="1">
      <c r="A349" s="63"/>
      <c r="B349" s="64"/>
      <c r="C349" s="35"/>
      <c r="D349" s="41"/>
      <c r="E349" s="35"/>
    </row>
    <row r="350" ht="15.75" customHeight="1">
      <c r="A350" s="63"/>
      <c r="B350" s="64"/>
      <c r="C350" s="35"/>
      <c r="D350" s="41"/>
      <c r="E350" s="35"/>
    </row>
    <row r="351" ht="15.75" customHeight="1">
      <c r="A351" s="63"/>
      <c r="B351" s="64"/>
      <c r="C351" s="35"/>
      <c r="D351" s="41"/>
      <c r="E351" s="35"/>
    </row>
    <row r="352" ht="15.75" customHeight="1">
      <c r="A352" s="63"/>
      <c r="B352" s="64"/>
      <c r="C352" s="35"/>
      <c r="D352" s="41"/>
      <c r="E352" s="35"/>
    </row>
    <row r="353" ht="15.75" customHeight="1">
      <c r="A353" s="63"/>
      <c r="B353" s="64"/>
      <c r="C353" s="35"/>
      <c r="D353" s="41"/>
      <c r="E353" s="35"/>
    </row>
    <row r="354" ht="15.75" customHeight="1">
      <c r="A354" s="63"/>
      <c r="B354" s="64"/>
      <c r="C354" s="35"/>
      <c r="D354" s="41"/>
      <c r="E354" s="35"/>
    </row>
    <row r="355" ht="15.75" customHeight="1">
      <c r="A355" s="63"/>
      <c r="B355" s="64"/>
      <c r="C355" s="35"/>
      <c r="D355" s="41"/>
      <c r="E355" s="35"/>
    </row>
    <row r="356" ht="15.75" customHeight="1">
      <c r="A356" s="63"/>
      <c r="B356" s="64"/>
      <c r="C356" s="35"/>
      <c r="D356" s="41"/>
      <c r="E356" s="35"/>
    </row>
    <row r="357" ht="15.75" customHeight="1">
      <c r="A357" s="63"/>
      <c r="B357" s="64"/>
      <c r="C357" s="35"/>
      <c r="D357" s="41"/>
      <c r="E357" s="35"/>
    </row>
    <row r="358" ht="15.75" customHeight="1">
      <c r="A358" s="63"/>
      <c r="B358" s="64"/>
      <c r="C358" s="35"/>
      <c r="D358" s="41"/>
      <c r="E358" s="35"/>
    </row>
    <row r="359" ht="15.75" customHeight="1">
      <c r="A359" s="63"/>
      <c r="B359" s="64"/>
      <c r="C359" s="35"/>
      <c r="D359" s="41"/>
      <c r="E359" s="35"/>
    </row>
    <row r="360" ht="15.75" customHeight="1">
      <c r="A360" s="63"/>
      <c r="B360" s="64"/>
      <c r="C360" s="35"/>
      <c r="D360" s="41"/>
      <c r="E360" s="35"/>
    </row>
    <row r="361" ht="15.75" customHeight="1">
      <c r="A361" s="63"/>
      <c r="B361" s="64"/>
      <c r="C361" s="35"/>
      <c r="D361" s="41"/>
      <c r="E361" s="35"/>
    </row>
    <row r="362" ht="15.75" customHeight="1">
      <c r="A362" s="63"/>
      <c r="B362" s="64"/>
      <c r="C362" s="35"/>
      <c r="D362" s="41"/>
      <c r="E362" s="35"/>
    </row>
    <row r="363" ht="15.75" customHeight="1">
      <c r="A363" s="63"/>
      <c r="B363" s="64"/>
      <c r="C363" s="35"/>
      <c r="D363" s="41"/>
      <c r="E363" s="35"/>
    </row>
    <row r="364" ht="15.75" customHeight="1">
      <c r="A364" s="63"/>
      <c r="B364" s="64"/>
      <c r="C364" s="35"/>
      <c r="D364" s="41"/>
      <c r="E364" s="35"/>
    </row>
    <row r="365" ht="15.75" customHeight="1">
      <c r="A365" s="63"/>
      <c r="B365" s="64"/>
      <c r="C365" s="35"/>
      <c r="D365" s="41"/>
      <c r="E365" s="35"/>
    </row>
    <row r="366" ht="15.75" customHeight="1">
      <c r="A366" s="63"/>
      <c r="B366" s="64"/>
      <c r="C366" s="35"/>
      <c r="D366" s="41"/>
      <c r="E366" s="35"/>
    </row>
    <row r="367" ht="15.75" customHeight="1">
      <c r="A367" s="63"/>
      <c r="B367" s="64"/>
      <c r="C367" s="35"/>
      <c r="D367" s="41"/>
      <c r="E367" s="35"/>
    </row>
    <row r="368" ht="15.75" customHeight="1">
      <c r="A368" s="63"/>
      <c r="B368" s="64"/>
      <c r="C368" s="35"/>
      <c r="D368" s="41"/>
      <c r="E368" s="35"/>
    </row>
    <row r="369" ht="15.75" customHeight="1">
      <c r="A369" s="63"/>
      <c r="B369" s="64"/>
      <c r="C369" s="35"/>
      <c r="D369" s="41"/>
      <c r="E369" s="35"/>
    </row>
    <row r="370" ht="15.75" customHeight="1">
      <c r="A370" s="63"/>
      <c r="B370" s="64"/>
      <c r="C370" s="35"/>
      <c r="D370" s="41"/>
      <c r="E370" s="35"/>
    </row>
    <row r="371" ht="15.75" customHeight="1">
      <c r="A371" s="63"/>
      <c r="B371" s="64"/>
      <c r="C371" s="35"/>
      <c r="D371" s="41"/>
      <c r="E371" s="35"/>
    </row>
    <row r="372" ht="15.75" customHeight="1">
      <c r="A372" s="63"/>
      <c r="B372" s="64"/>
      <c r="C372" s="35"/>
      <c r="D372" s="41"/>
      <c r="E372" s="35"/>
    </row>
    <row r="373" ht="15.75" customHeight="1">
      <c r="A373" s="63"/>
      <c r="B373" s="64"/>
      <c r="C373" s="35"/>
      <c r="D373" s="41"/>
      <c r="E373" s="35"/>
    </row>
    <row r="374" ht="15.75" customHeight="1">
      <c r="A374" s="63"/>
      <c r="B374" s="64"/>
      <c r="C374" s="35"/>
      <c r="D374" s="41"/>
      <c r="E374" s="35"/>
    </row>
    <row r="375" ht="15.75" customHeight="1">
      <c r="A375" s="63"/>
      <c r="B375" s="64"/>
      <c r="C375" s="35"/>
      <c r="D375" s="41"/>
      <c r="E375" s="35"/>
    </row>
    <row r="376" ht="15.75" customHeight="1">
      <c r="A376" s="63"/>
      <c r="B376" s="64"/>
      <c r="C376" s="35"/>
      <c r="D376" s="41"/>
      <c r="E376" s="35"/>
    </row>
    <row r="377" ht="15.75" customHeight="1">
      <c r="A377" s="63"/>
      <c r="B377" s="64"/>
      <c r="C377" s="35"/>
      <c r="D377" s="41"/>
      <c r="E377" s="35"/>
    </row>
    <row r="378" ht="15.75" customHeight="1">
      <c r="A378" s="63"/>
      <c r="B378" s="64"/>
      <c r="C378" s="35"/>
      <c r="D378" s="41"/>
      <c r="E378" s="35"/>
    </row>
    <row r="379" ht="15.75" customHeight="1">
      <c r="A379" s="63"/>
      <c r="B379" s="64"/>
      <c r="C379" s="35"/>
      <c r="D379" s="41"/>
      <c r="E379" s="35"/>
    </row>
    <row r="380" ht="15.75" customHeight="1">
      <c r="A380" s="63"/>
      <c r="B380" s="64"/>
      <c r="C380" s="35"/>
      <c r="D380" s="41"/>
      <c r="E380" s="35"/>
    </row>
    <row r="381" ht="15.75" customHeight="1">
      <c r="A381" s="63"/>
      <c r="B381" s="64"/>
      <c r="C381" s="35"/>
      <c r="D381" s="41"/>
      <c r="E381" s="35"/>
    </row>
    <row r="382" ht="15.75" customHeight="1">
      <c r="A382" s="63"/>
      <c r="B382" s="64"/>
      <c r="C382" s="35"/>
      <c r="D382" s="41"/>
      <c r="E382" s="35"/>
    </row>
    <row r="383" ht="15.75" customHeight="1">
      <c r="A383" s="63"/>
      <c r="B383" s="64"/>
      <c r="C383" s="35"/>
      <c r="D383" s="41"/>
      <c r="E383" s="35"/>
    </row>
    <row r="384" ht="15.75" customHeight="1">
      <c r="A384" s="63"/>
      <c r="B384" s="64"/>
      <c r="C384" s="35"/>
      <c r="D384" s="41"/>
      <c r="E384" s="35"/>
    </row>
    <row r="385" ht="15.75" customHeight="1">
      <c r="A385" s="63"/>
      <c r="B385" s="64"/>
      <c r="C385" s="35"/>
      <c r="D385" s="41"/>
      <c r="E385" s="35"/>
    </row>
    <row r="386" ht="15.75" customHeight="1">
      <c r="A386" s="63"/>
      <c r="B386" s="64"/>
      <c r="C386" s="35"/>
      <c r="D386" s="41"/>
      <c r="E386" s="35"/>
    </row>
    <row r="387" ht="15.75" customHeight="1">
      <c r="A387" s="63"/>
      <c r="B387" s="64"/>
      <c r="C387" s="35"/>
      <c r="D387" s="41"/>
      <c r="E387" s="35"/>
    </row>
    <row r="388" ht="15.75" customHeight="1">
      <c r="A388" s="63"/>
      <c r="B388" s="64"/>
      <c r="C388" s="35"/>
      <c r="D388" s="41"/>
      <c r="E388" s="35"/>
    </row>
    <row r="389" ht="15.75" customHeight="1">
      <c r="A389" s="63"/>
      <c r="B389" s="64"/>
      <c r="C389" s="35"/>
      <c r="D389" s="41"/>
      <c r="E389" s="35"/>
    </row>
    <row r="390" ht="15.75" customHeight="1">
      <c r="A390" s="63"/>
      <c r="B390" s="64"/>
      <c r="C390" s="35"/>
      <c r="D390" s="41"/>
      <c r="E390" s="35"/>
    </row>
    <row r="391" ht="15.75" customHeight="1">
      <c r="A391" s="63"/>
      <c r="B391" s="64"/>
      <c r="C391" s="35"/>
      <c r="D391" s="41"/>
      <c r="E391" s="35"/>
    </row>
    <row r="392" ht="15.75" customHeight="1">
      <c r="A392" s="63"/>
      <c r="B392" s="64"/>
      <c r="C392" s="35"/>
      <c r="D392" s="41"/>
      <c r="E392" s="35"/>
    </row>
    <row r="393" ht="15.75" customHeight="1">
      <c r="A393" s="63"/>
      <c r="B393" s="64"/>
      <c r="C393" s="35"/>
      <c r="D393" s="41"/>
      <c r="E393" s="35"/>
    </row>
    <row r="394" ht="15.75" customHeight="1">
      <c r="A394" s="63"/>
      <c r="B394" s="64"/>
      <c r="C394" s="35"/>
      <c r="D394" s="41"/>
      <c r="E394" s="35"/>
    </row>
    <row r="395" ht="15.75" customHeight="1">
      <c r="A395" s="63"/>
      <c r="B395" s="64"/>
      <c r="C395" s="35"/>
      <c r="D395" s="41"/>
      <c r="E395" s="35"/>
    </row>
    <row r="396" ht="15.75" customHeight="1">
      <c r="A396" s="63"/>
      <c r="B396" s="64"/>
      <c r="C396" s="35"/>
      <c r="D396" s="41"/>
      <c r="E396" s="35"/>
    </row>
    <row r="397" ht="15.75" customHeight="1">
      <c r="A397" s="63"/>
      <c r="B397" s="64"/>
      <c r="C397" s="35"/>
      <c r="D397" s="41"/>
      <c r="E397" s="35"/>
    </row>
    <row r="398" ht="15.75" customHeight="1">
      <c r="A398" s="63"/>
      <c r="B398" s="64"/>
      <c r="C398" s="35"/>
      <c r="D398" s="41"/>
      <c r="E398" s="35"/>
    </row>
    <row r="399" ht="15.75" customHeight="1">
      <c r="A399" s="63"/>
      <c r="B399" s="64"/>
      <c r="C399" s="35"/>
      <c r="D399" s="41"/>
      <c r="E399" s="35"/>
    </row>
    <row r="400" ht="15.75" customHeight="1">
      <c r="A400" s="63"/>
      <c r="B400" s="64"/>
      <c r="C400" s="35"/>
      <c r="D400" s="41"/>
      <c r="E400" s="35"/>
    </row>
    <row r="401" ht="15.75" customHeight="1">
      <c r="A401" s="63"/>
      <c r="B401" s="64"/>
      <c r="C401" s="35"/>
      <c r="D401" s="41"/>
      <c r="E401" s="35"/>
    </row>
    <row r="402" ht="15.75" customHeight="1">
      <c r="A402" s="63"/>
      <c r="B402" s="64"/>
      <c r="C402" s="35"/>
      <c r="D402" s="41"/>
      <c r="E402" s="35"/>
    </row>
    <row r="403" ht="15.75" customHeight="1">
      <c r="A403" s="63"/>
      <c r="B403" s="64"/>
      <c r="C403" s="35"/>
      <c r="D403" s="41"/>
      <c r="E403" s="35"/>
    </row>
    <row r="404" ht="15.75" customHeight="1">
      <c r="A404" s="63"/>
      <c r="B404" s="64"/>
      <c r="C404" s="35"/>
      <c r="D404" s="41"/>
      <c r="E404" s="35"/>
    </row>
    <row r="405" ht="15.75" customHeight="1">
      <c r="A405" s="63"/>
      <c r="B405" s="64"/>
      <c r="C405" s="35"/>
      <c r="D405" s="41"/>
      <c r="E405" s="35"/>
    </row>
    <row r="406" ht="15.75" customHeight="1">
      <c r="A406" s="63"/>
      <c r="B406" s="64"/>
      <c r="C406" s="35"/>
      <c r="D406" s="41"/>
      <c r="E406" s="35"/>
    </row>
    <row r="407" ht="15.75" customHeight="1">
      <c r="A407" s="63"/>
      <c r="B407" s="64"/>
      <c r="C407" s="35"/>
      <c r="D407" s="41"/>
      <c r="E407" s="35"/>
    </row>
    <row r="408" ht="15.75" customHeight="1">
      <c r="A408" s="63"/>
      <c r="B408" s="64"/>
      <c r="C408" s="35"/>
      <c r="D408" s="41"/>
      <c r="E408" s="35"/>
    </row>
    <row r="409" ht="15.75" customHeight="1">
      <c r="A409" s="63"/>
      <c r="B409" s="64"/>
      <c r="C409" s="35"/>
      <c r="D409" s="41"/>
      <c r="E409" s="35"/>
    </row>
    <row r="410" ht="15.75" customHeight="1">
      <c r="A410" s="63"/>
      <c r="B410" s="64"/>
      <c r="C410" s="35"/>
      <c r="D410" s="41"/>
      <c r="E410" s="35"/>
    </row>
    <row r="411" ht="15.75" customHeight="1">
      <c r="A411" s="63"/>
      <c r="B411" s="64"/>
      <c r="C411" s="35"/>
      <c r="D411" s="41"/>
      <c r="E411" s="35"/>
    </row>
    <row r="412" ht="15.75" customHeight="1">
      <c r="A412" s="63"/>
      <c r="B412" s="64"/>
      <c r="C412" s="35"/>
      <c r="D412" s="41"/>
      <c r="E412" s="35"/>
    </row>
    <row r="413" ht="15.75" customHeight="1">
      <c r="A413" s="63"/>
      <c r="B413" s="64"/>
      <c r="C413" s="35"/>
      <c r="D413" s="41"/>
      <c r="E413" s="35"/>
    </row>
    <row r="414" ht="15.75" customHeight="1">
      <c r="A414" s="63"/>
      <c r="B414" s="64"/>
      <c r="C414" s="35"/>
      <c r="D414" s="41"/>
      <c r="E414" s="35"/>
    </row>
    <row r="415" ht="15.75" customHeight="1">
      <c r="A415" s="63"/>
      <c r="B415" s="64"/>
      <c r="C415" s="35"/>
      <c r="D415" s="41"/>
      <c r="E415" s="35"/>
    </row>
    <row r="416" ht="15.75" customHeight="1">
      <c r="A416" s="63"/>
      <c r="B416" s="64"/>
      <c r="C416" s="35"/>
      <c r="D416" s="41"/>
      <c r="E416" s="35"/>
    </row>
    <row r="417" ht="15.75" customHeight="1">
      <c r="A417" s="63"/>
      <c r="B417" s="64"/>
      <c r="C417" s="35"/>
      <c r="D417" s="41"/>
      <c r="E417" s="35"/>
    </row>
    <row r="418" ht="15.75" customHeight="1">
      <c r="A418" s="63"/>
      <c r="B418" s="64"/>
      <c r="C418" s="35"/>
      <c r="D418" s="41"/>
      <c r="E418" s="35"/>
    </row>
    <row r="419" ht="15.75" customHeight="1">
      <c r="A419" s="63"/>
      <c r="B419" s="64"/>
      <c r="C419" s="35"/>
      <c r="D419" s="41"/>
      <c r="E419" s="35"/>
    </row>
    <row r="420" ht="15.75" customHeight="1">
      <c r="A420" s="63"/>
      <c r="B420" s="64"/>
      <c r="C420" s="35"/>
      <c r="D420" s="41"/>
      <c r="E420" s="35"/>
    </row>
    <row r="421" ht="15.75" customHeight="1">
      <c r="A421" s="63"/>
      <c r="B421" s="64"/>
      <c r="C421" s="35"/>
      <c r="D421" s="41"/>
      <c r="E421" s="35"/>
    </row>
    <row r="422" ht="15.75" customHeight="1">
      <c r="A422" s="63"/>
      <c r="B422" s="64"/>
      <c r="C422" s="35"/>
      <c r="D422" s="41"/>
      <c r="E422" s="35"/>
    </row>
    <row r="423" ht="15.75" customHeight="1">
      <c r="A423" s="63"/>
      <c r="B423" s="64"/>
      <c r="C423" s="35"/>
      <c r="D423" s="41"/>
      <c r="E423" s="35"/>
    </row>
    <row r="424" ht="15.75" customHeight="1">
      <c r="A424" s="63"/>
      <c r="B424" s="64"/>
      <c r="C424" s="35"/>
      <c r="D424" s="41"/>
      <c r="E424" s="35"/>
    </row>
    <row r="425" ht="15.75" customHeight="1">
      <c r="A425" s="63"/>
      <c r="B425" s="64"/>
      <c r="C425" s="35"/>
      <c r="D425" s="41"/>
      <c r="E425" s="35"/>
    </row>
    <row r="426" ht="15.75" customHeight="1">
      <c r="A426" s="63"/>
      <c r="B426" s="64"/>
      <c r="C426" s="35"/>
      <c r="D426" s="41"/>
      <c r="E426" s="35"/>
    </row>
    <row r="427" ht="15.75" customHeight="1">
      <c r="A427" s="63"/>
      <c r="B427" s="64"/>
      <c r="C427" s="35"/>
      <c r="D427" s="41"/>
      <c r="E427" s="35"/>
    </row>
    <row r="428" ht="15.75" customHeight="1">
      <c r="A428" s="63"/>
      <c r="B428" s="64"/>
      <c r="C428" s="35"/>
      <c r="D428" s="41"/>
      <c r="E428" s="35"/>
    </row>
    <row r="429" ht="15.75" customHeight="1">
      <c r="A429" s="63"/>
      <c r="B429" s="64"/>
      <c r="C429" s="35"/>
      <c r="D429" s="41"/>
      <c r="E429" s="35"/>
    </row>
    <row r="430" ht="15.75" customHeight="1">
      <c r="A430" s="63"/>
      <c r="B430" s="64"/>
      <c r="C430" s="35"/>
      <c r="D430" s="41"/>
      <c r="E430" s="35"/>
    </row>
    <row r="431" ht="15.75" customHeight="1">
      <c r="A431" s="63"/>
      <c r="B431" s="64"/>
      <c r="C431" s="35"/>
      <c r="D431" s="41"/>
      <c r="E431" s="35"/>
    </row>
    <row r="432" ht="15.75" customHeight="1">
      <c r="A432" s="63"/>
      <c r="B432" s="64"/>
      <c r="C432" s="35"/>
      <c r="D432" s="41"/>
      <c r="E432" s="35"/>
    </row>
    <row r="433" ht="15.75" customHeight="1">
      <c r="A433" s="63"/>
      <c r="B433" s="64"/>
      <c r="C433" s="35"/>
      <c r="D433" s="41"/>
      <c r="E433" s="35"/>
    </row>
    <row r="434" ht="15.75" customHeight="1">
      <c r="A434" s="63"/>
      <c r="B434" s="64"/>
      <c r="C434" s="35"/>
      <c r="D434" s="41"/>
      <c r="E434" s="35"/>
    </row>
    <row r="435" ht="15.75" customHeight="1">
      <c r="A435" s="63"/>
      <c r="B435" s="64"/>
      <c r="C435" s="35"/>
      <c r="D435" s="41"/>
      <c r="E435" s="35"/>
    </row>
    <row r="436" ht="15.75" customHeight="1">
      <c r="A436" s="63"/>
      <c r="B436" s="64"/>
      <c r="C436" s="35"/>
      <c r="D436" s="41"/>
      <c r="E436" s="35"/>
    </row>
    <row r="437" ht="15.75" customHeight="1">
      <c r="A437" s="63"/>
      <c r="B437" s="64"/>
      <c r="C437" s="35"/>
      <c r="D437" s="41"/>
      <c r="E437" s="35"/>
    </row>
    <row r="438" ht="15.75" customHeight="1">
      <c r="A438" s="63"/>
      <c r="B438" s="64"/>
      <c r="C438" s="35"/>
      <c r="D438" s="41"/>
      <c r="E438" s="35"/>
    </row>
    <row r="439" ht="15.75" customHeight="1">
      <c r="A439" s="63"/>
      <c r="B439" s="64"/>
      <c r="C439" s="35"/>
      <c r="D439" s="41"/>
      <c r="E439" s="35"/>
    </row>
    <row r="440" ht="15.75" customHeight="1">
      <c r="A440" s="63"/>
      <c r="B440" s="64"/>
      <c r="C440" s="35"/>
      <c r="D440" s="41"/>
      <c r="E440" s="35"/>
    </row>
    <row r="441" ht="15.75" customHeight="1">
      <c r="A441" s="63"/>
      <c r="B441" s="64"/>
      <c r="C441" s="35"/>
      <c r="D441" s="41"/>
      <c r="E441" s="35"/>
    </row>
    <row r="442" ht="15.75" customHeight="1">
      <c r="A442" s="63"/>
      <c r="B442" s="64"/>
      <c r="C442" s="35"/>
      <c r="D442" s="41"/>
      <c r="E442" s="35"/>
    </row>
    <row r="443" ht="15.75" customHeight="1">
      <c r="A443" s="63"/>
      <c r="B443" s="64"/>
      <c r="C443" s="35"/>
      <c r="D443" s="41"/>
      <c r="E443" s="35"/>
    </row>
    <row r="444" ht="15.75" customHeight="1">
      <c r="A444" s="63"/>
      <c r="B444" s="64"/>
      <c r="C444" s="35"/>
      <c r="D444" s="41"/>
      <c r="E444" s="35"/>
    </row>
    <row r="445" ht="15.75" customHeight="1">
      <c r="A445" s="63"/>
      <c r="B445" s="64"/>
      <c r="C445" s="35"/>
      <c r="D445" s="41"/>
      <c r="E445" s="35"/>
    </row>
    <row r="446" ht="15.75" customHeight="1">
      <c r="A446" s="63"/>
      <c r="B446" s="64"/>
      <c r="C446" s="35"/>
      <c r="D446" s="41"/>
      <c r="E446" s="35"/>
    </row>
    <row r="447" ht="15.75" customHeight="1">
      <c r="A447" s="63"/>
      <c r="B447" s="64"/>
      <c r="C447" s="35"/>
      <c r="D447" s="41"/>
      <c r="E447" s="35"/>
    </row>
    <row r="448" ht="15.75" customHeight="1">
      <c r="A448" s="63"/>
      <c r="B448" s="64"/>
      <c r="C448" s="35"/>
      <c r="D448" s="41"/>
      <c r="E448" s="35"/>
    </row>
    <row r="449" ht="15.75" customHeight="1">
      <c r="A449" s="63"/>
      <c r="B449" s="64"/>
      <c r="C449" s="35"/>
      <c r="D449" s="41"/>
      <c r="E449" s="35"/>
    </row>
    <row r="450" ht="15.75" customHeight="1">
      <c r="A450" s="63"/>
      <c r="B450" s="64"/>
      <c r="C450" s="35"/>
      <c r="D450" s="41"/>
      <c r="E450" s="35"/>
    </row>
    <row r="451" ht="15.75" customHeight="1">
      <c r="A451" s="63"/>
      <c r="B451" s="64"/>
      <c r="C451" s="35"/>
      <c r="D451" s="41"/>
      <c r="E451" s="35"/>
    </row>
    <row r="452" ht="15.75" customHeight="1">
      <c r="A452" s="63"/>
      <c r="B452" s="64"/>
      <c r="C452" s="35"/>
      <c r="D452" s="41"/>
      <c r="E452" s="35"/>
    </row>
    <row r="453" ht="15.75" customHeight="1">
      <c r="A453" s="63"/>
      <c r="B453" s="64"/>
      <c r="C453" s="35"/>
      <c r="D453" s="41"/>
      <c r="E453" s="35"/>
    </row>
    <row r="454" ht="15.75" customHeight="1">
      <c r="A454" s="63"/>
      <c r="B454" s="64"/>
      <c r="C454" s="35"/>
      <c r="D454" s="41"/>
      <c r="E454" s="35"/>
    </row>
    <row r="455" ht="15.75" customHeight="1">
      <c r="A455" s="63"/>
      <c r="B455" s="64"/>
      <c r="C455" s="35"/>
      <c r="D455" s="41"/>
      <c r="E455" s="35"/>
    </row>
    <row r="456" ht="15.75" customHeight="1">
      <c r="A456" s="63"/>
      <c r="B456" s="64"/>
      <c r="C456" s="35"/>
      <c r="D456" s="41"/>
      <c r="E456" s="35"/>
    </row>
    <row r="457" ht="15.75" customHeight="1">
      <c r="A457" s="63"/>
      <c r="B457" s="64"/>
      <c r="C457" s="35"/>
      <c r="D457" s="41"/>
      <c r="E457" s="35"/>
    </row>
    <row r="458" ht="15.75" customHeight="1">
      <c r="A458" s="63"/>
      <c r="B458" s="64"/>
      <c r="C458" s="35"/>
      <c r="D458" s="41"/>
      <c r="E458" s="35"/>
    </row>
    <row r="459" ht="15.75" customHeight="1">
      <c r="A459" s="63"/>
      <c r="B459" s="64"/>
      <c r="C459" s="35"/>
      <c r="D459" s="41"/>
      <c r="E459" s="35"/>
    </row>
    <row r="460" ht="15.75" customHeight="1">
      <c r="A460" s="63"/>
      <c r="B460" s="64"/>
      <c r="C460" s="35"/>
      <c r="D460" s="41"/>
      <c r="E460" s="35"/>
    </row>
    <row r="461" ht="15.75" customHeight="1">
      <c r="A461" s="63"/>
      <c r="B461" s="64"/>
      <c r="C461" s="35"/>
      <c r="D461" s="41"/>
      <c r="E461" s="35"/>
    </row>
    <row r="462" ht="15.75" customHeight="1">
      <c r="A462" s="63"/>
      <c r="B462" s="64"/>
      <c r="C462" s="35"/>
      <c r="D462" s="41"/>
      <c r="E462" s="35"/>
    </row>
    <row r="463" ht="15.75" customHeight="1">
      <c r="A463" s="63"/>
      <c r="B463" s="64"/>
      <c r="C463" s="35"/>
      <c r="D463" s="41"/>
      <c r="E463" s="35"/>
    </row>
    <row r="464" ht="15.75" customHeight="1">
      <c r="A464" s="63"/>
      <c r="B464" s="64"/>
      <c r="C464" s="35"/>
      <c r="D464" s="41"/>
      <c r="E464" s="35"/>
    </row>
    <row r="465" ht="15.75" customHeight="1">
      <c r="A465" s="63"/>
      <c r="B465" s="64"/>
      <c r="C465" s="35"/>
      <c r="D465" s="41"/>
      <c r="E465" s="35"/>
    </row>
    <row r="466" ht="15.75" customHeight="1">
      <c r="A466" s="63"/>
      <c r="B466" s="64"/>
      <c r="C466" s="35"/>
      <c r="D466" s="41"/>
      <c r="E466" s="35"/>
    </row>
    <row r="467" ht="15.75" customHeight="1">
      <c r="A467" s="63"/>
      <c r="B467" s="64"/>
      <c r="C467" s="35"/>
      <c r="D467" s="41"/>
      <c r="E467" s="35"/>
    </row>
    <row r="468" ht="15.75" customHeight="1">
      <c r="A468" s="63"/>
      <c r="B468" s="64"/>
      <c r="C468" s="35"/>
      <c r="D468" s="41"/>
      <c r="E468" s="35"/>
    </row>
    <row r="469" ht="15.75" customHeight="1">
      <c r="A469" s="63"/>
      <c r="B469" s="64"/>
      <c r="C469" s="35"/>
      <c r="D469" s="41"/>
      <c r="E469" s="35"/>
    </row>
    <row r="470" ht="15.75" customHeight="1">
      <c r="A470" s="63"/>
      <c r="B470" s="64"/>
      <c r="C470" s="35"/>
      <c r="D470" s="41"/>
      <c r="E470" s="35"/>
    </row>
    <row r="471" ht="15.75" customHeight="1">
      <c r="A471" s="63"/>
      <c r="B471" s="64"/>
      <c r="C471" s="35"/>
      <c r="D471" s="41"/>
      <c r="E471" s="35"/>
    </row>
    <row r="472" ht="15.75" customHeight="1">
      <c r="A472" s="63"/>
      <c r="B472" s="64"/>
      <c r="C472" s="35"/>
      <c r="D472" s="41"/>
      <c r="E472" s="35"/>
    </row>
    <row r="473" ht="15.75" customHeight="1">
      <c r="A473" s="63"/>
      <c r="B473" s="64"/>
      <c r="C473" s="35"/>
      <c r="D473" s="41"/>
      <c r="E473" s="35"/>
    </row>
    <row r="474" ht="15.75" customHeight="1">
      <c r="A474" s="63"/>
      <c r="B474" s="64"/>
      <c r="C474" s="35"/>
      <c r="D474" s="41"/>
      <c r="E474" s="35"/>
    </row>
    <row r="475" ht="15.75" customHeight="1">
      <c r="A475" s="63"/>
      <c r="B475" s="64"/>
      <c r="C475" s="35"/>
      <c r="D475" s="41"/>
      <c r="E475" s="35"/>
    </row>
    <row r="476" ht="15.75" customHeight="1">
      <c r="A476" s="63"/>
      <c r="B476" s="64"/>
      <c r="C476" s="35"/>
      <c r="D476" s="41"/>
      <c r="E476" s="35"/>
    </row>
    <row r="477" ht="15.75" customHeight="1">
      <c r="A477" s="63"/>
      <c r="B477" s="64"/>
      <c r="C477" s="35"/>
      <c r="D477" s="41"/>
      <c r="E477" s="35"/>
    </row>
    <row r="478" ht="15.75" customHeight="1">
      <c r="A478" s="63"/>
      <c r="B478" s="64"/>
      <c r="C478" s="35"/>
      <c r="D478" s="41"/>
      <c r="E478" s="35"/>
    </row>
    <row r="479" ht="15.75" customHeight="1">
      <c r="A479" s="63"/>
      <c r="B479" s="64"/>
      <c r="C479" s="35"/>
      <c r="D479" s="41"/>
      <c r="E479" s="35"/>
    </row>
    <row r="480" ht="15.75" customHeight="1">
      <c r="A480" s="63"/>
      <c r="B480" s="64"/>
      <c r="C480" s="35"/>
      <c r="D480" s="41"/>
      <c r="E480" s="35"/>
    </row>
    <row r="481" ht="15.75" customHeight="1">
      <c r="A481" s="63"/>
      <c r="B481" s="64"/>
      <c r="C481" s="35"/>
      <c r="D481" s="41"/>
      <c r="E481" s="35"/>
    </row>
    <row r="482" ht="15.75" customHeight="1">
      <c r="A482" s="63"/>
      <c r="B482" s="64"/>
      <c r="C482" s="35"/>
      <c r="D482" s="41"/>
      <c r="E482" s="35"/>
    </row>
    <row r="483" ht="15.75" customHeight="1">
      <c r="A483" s="63"/>
      <c r="B483" s="64"/>
      <c r="C483" s="35"/>
      <c r="D483" s="41"/>
      <c r="E483" s="35"/>
    </row>
    <row r="484" ht="15.75" customHeight="1">
      <c r="A484" s="63"/>
      <c r="B484" s="64"/>
      <c r="C484" s="35"/>
      <c r="D484" s="41"/>
      <c r="E484" s="35"/>
    </row>
    <row r="485" ht="15.75" customHeight="1">
      <c r="A485" s="63"/>
      <c r="B485" s="64"/>
      <c r="C485" s="35"/>
      <c r="D485" s="41"/>
      <c r="E485" s="35"/>
    </row>
    <row r="486" ht="15.75" customHeight="1">
      <c r="A486" s="63"/>
      <c r="B486" s="64"/>
      <c r="C486" s="35"/>
      <c r="D486" s="41"/>
      <c r="E486" s="35"/>
    </row>
    <row r="487" ht="15.75" customHeight="1">
      <c r="A487" s="63"/>
      <c r="B487" s="64"/>
      <c r="C487" s="35"/>
      <c r="D487" s="41"/>
      <c r="E487" s="35"/>
    </row>
    <row r="488" ht="15.75" customHeight="1">
      <c r="A488" s="63"/>
      <c r="B488" s="64"/>
      <c r="C488" s="35"/>
      <c r="D488" s="41"/>
      <c r="E488" s="35"/>
    </row>
    <row r="489" ht="15.75" customHeight="1">
      <c r="A489" s="63"/>
      <c r="B489" s="64"/>
      <c r="C489" s="35"/>
      <c r="D489" s="41"/>
      <c r="E489" s="35"/>
    </row>
    <row r="490" ht="15.75" customHeight="1">
      <c r="A490" s="63"/>
      <c r="B490" s="64"/>
      <c r="C490" s="35"/>
      <c r="D490" s="41"/>
      <c r="E490" s="35"/>
    </row>
    <row r="491" ht="15.75" customHeight="1">
      <c r="A491" s="63"/>
      <c r="B491" s="64"/>
      <c r="C491" s="35"/>
      <c r="D491" s="41"/>
      <c r="E491" s="35"/>
    </row>
    <row r="492" ht="15.75" customHeight="1">
      <c r="A492" s="63"/>
      <c r="B492" s="64"/>
      <c r="C492" s="35"/>
      <c r="D492" s="41"/>
      <c r="E492" s="35"/>
    </row>
    <row r="493" ht="15.75" customHeight="1">
      <c r="A493" s="63"/>
      <c r="B493" s="64"/>
      <c r="C493" s="35"/>
      <c r="D493" s="41"/>
      <c r="E493" s="35"/>
    </row>
    <row r="494" ht="15.75" customHeight="1">
      <c r="A494" s="63"/>
      <c r="B494" s="64"/>
      <c r="C494" s="35"/>
      <c r="D494" s="41"/>
      <c r="E494" s="35"/>
    </row>
    <row r="495" ht="15.75" customHeight="1">
      <c r="A495" s="63"/>
      <c r="B495" s="64"/>
      <c r="C495" s="35"/>
      <c r="D495" s="41"/>
      <c r="E495" s="35"/>
    </row>
    <row r="496" ht="15.75" customHeight="1">
      <c r="A496" s="63"/>
      <c r="B496" s="64"/>
      <c r="C496" s="35"/>
      <c r="D496" s="41"/>
      <c r="E496" s="35"/>
    </row>
    <row r="497" ht="15.75" customHeight="1">
      <c r="A497" s="63"/>
      <c r="B497" s="64"/>
      <c r="C497" s="35"/>
      <c r="D497" s="41"/>
      <c r="E497" s="35"/>
    </row>
    <row r="498" ht="15.75" customHeight="1">
      <c r="A498" s="63"/>
      <c r="B498" s="64"/>
      <c r="C498" s="35"/>
      <c r="D498" s="41"/>
      <c r="E498" s="35"/>
    </row>
    <row r="499" ht="15.75" customHeight="1">
      <c r="A499" s="63"/>
      <c r="B499" s="64"/>
      <c r="C499" s="35"/>
      <c r="D499" s="41"/>
      <c r="E499" s="35"/>
    </row>
    <row r="500" ht="15.75" customHeight="1">
      <c r="A500" s="63"/>
      <c r="B500" s="64"/>
      <c r="C500" s="35"/>
      <c r="D500" s="41"/>
      <c r="E500" s="35"/>
    </row>
    <row r="501" ht="15.75" customHeight="1">
      <c r="A501" s="63"/>
      <c r="B501" s="64"/>
      <c r="C501" s="35"/>
      <c r="D501" s="41"/>
      <c r="E501" s="35"/>
    </row>
    <row r="502" ht="15.75" customHeight="1">
      <c r="A502" s="63"/>
      <c r="B502" s="64"/>
      <c r="C502" s="35"/>
      <c r="D502" s="41"/>
      <c r="E502" s="35"/>
    </row>
    <row r="503" ht="15.75" customHeight="1">
      <c r="A503" s="63"/>
      <c r="B503" s="64"/>
      <c r="C503" s="35"/>
      <c r="D503" s="41"/>
      <c r="E503" s="35"/>
    </row>
    <row r="504" ht="15.75" customHeight="1">
      <c r="A504" s="63"/>
      <c r="B504" s="64"/>
      <c r="C504" s="35"/>
      <c r="D504" s="41"/>
      <c r="E504" s="35"/>
    </row>
    <row r="505" ht="15.75" customHeight="1">
      <c r="A505" s="63"/>
      <c r="B505" s="64"/>
      <c r="C505" s="35"/>
      <c r="D505" s="41"/>
      <c r="E505" s="35"/>
    </row>
    <row r="506" ht="15.75" customHeight="1">
      <c r="A506" s="63"/>
      <c r="B506" s="64"/>
      <c r="C506" s="35"/>
      <c r="D506" s="41"/>
      <c r="E506" s="35"/>
    </row>
    <row r="507" ht="15.75" customHeight="1">
      <c r="A507" s="63"/>
      <c r="B507" s="64"/>
      <c r="C507" s="35"/>
      <c r="D507" s="41"/>
      <c r="E507" s="35"/>
    </row>
    <row r="508" ht="15.75" customHeight="1">
      <c r="A508" s="63"/>
      <c r="B508" s="64"/>
      <c r="C508" s="35"/>
      <c r="D508" s="41"/>
      <c r="E508" s="35"/>
    </row>
    <row r="509" ht="15.75" customHeight="1">
      <c r="A509" s="63"/>
      <c r="B509" s="64"/>
      <c r="C509" s="35"/>
      <c r="D509" s="41"/>
      <c r="E509" s="35"/>
    </row>
    <row r="510" ht="15.75" customHeight="1">
      <c r="A510" s="63"/>
      <c r="B510" s="64"/>
      <c r="C510" s="35"/>
      <c r="D510" s="41"/>
      <c r="E510" s="35"/>
    </row>
    <row r="511" ht="15.75" customHeight="1">
      <c r="A511" s="63"/>
      <c r="B511" s="64"/>
      <c r="C511" s="35"/>
      <c r="D511" s="41"/>
      <c r="E511" s="35"/>
    </row>
    <row r="512" ht="15.75" customHeight="1">
      <c r="A512" s="63"/>
      <c r="B512" s="64"/>
      <c r="C512" s="35"/>
      <c r="D512" s="41"/>
      <c r="E512" s="35"/>
    </row>
    <row r="513" ht="15.75" customHeight="1">
      <c r="A513" s="63"/>
      <c r="B513" s="64"/>
      <c r="C513" s="35"/>
      <c r="D513" s="41"/>
      <c r="E513" s="35"/>
    </row>
    <row r="514" ht="15.75" customHeight="1">
      <c r="A514" s="63"/>
      <c r="B514" s="64"/>
      <c r="C514" s="35"/>
      <c r="D514" s="41"/>
      <c r="E514" s="35"/>
    </row>
    <row r="515" ht="15.75" customHeight="1">
      <c r="A515" s="63"/>
      <c r="B515" s="64"/>
      <c r="C515" s="35"/>
      <c r="D515" s="41"/>
      <c r="E515" s="35"/>
    </row>
    <row r="516" ht="15.75" customHeight="1">
      <c r="A516" s="63"/>
      <c r="B516" s="64"/>
      <c r="C516" s="35"/>
      <c r="D516" s="41"/>
      <c r="E516" s="35"/>
    </row>
    <row r="517" ht="15.75" customHeight="1">
      <c r="A517" s="63"/>
      <c r="B517" s="64"/>
      <c r="C517" s="35"/>
      <c r="D517" s="41"/>
      <c r="E517" s="35"/>
    </row>
    <row r="518" ht="15.75" customHeight="1">
      <c r="A518" s="63"/>
      <c r="B518" s="64"/>
      <c r="C518" s="35"/>
      <c r="D518" s="41"/>
      <c r="E518" s="35"/>
    </row>
    <row r="519" ht="15.75" customHeight="1">
      <c r="A519" s="63"/>
      <c r="B519" s="64"/>
      <c r="C519" s="35"/>
      <c r="D519" s="41"/>
      <c r="E519" s="35"/>
    </row>
    <row r="520" ht="15.75" customHeight="1">
      <c r="A520" s="63"/>
      <c r="B520" s="64"/>
      <c r="C520" s="35"/>
      <c r="D520" s="41"/>
      <c r="E520" s="35"/>
    </row>
    <row r="521" ht="15.75" customHeight="1">
      <c r="A521" s="63"/>
      <c r="B521" s="64"/>
      <c r="C521" s="35"/>
      <c r="D521" s="41"/>
      <c r="E521" s="35"/>
    </row>
    <row r="522" ht="15.75" customHeight="1">
      <c r="A522" s="63"/>
      <c r="B522" s="64"/>
      <c r="C522" s="35"/>
      <c r="D522" s="41"/>
      <c r="E522" s="35"/>
    </row>
    <row r="523" ht="15.75" customHeight="1">
      <c r="A523" s="63"/>
      <c r="B523" s="64"/>
      <c r="C523" s="35"/>
      <c r="D523" s="41"/>
      <c r="E523" s="35"/>
    </row>
    <row r="524" ht="15.75" customHeight="1">
      <c r="A524" s="63"/>
      <c r="B524" s="64"/>
      <c r="C524" s="35"/>
      <c r="D524" s="41"/>
      <c r="E524" s="35"/>
    </row>
    <row r="525" ht="15.75" customHeight="1">
      <c r="A525" s="63"/>
      <c r="B525" s="64"/>
      <c r="C525" s="35"/>
      <c r="D525" s="41"/>
      <c r="E525" s="35"/>
    </row>
    <row r="526" ht="15.75" customHeight="1">
      <c r="A526" s="63"/>
      <c r="B526" s="64"/>
      <c r="C526" s="35"/>
      <c r="D526" s="41"/>
      <c r="E526" s="35"/>
    </row>
    <row r="527" ht="15.75" customHeight="1">
      <c r="A527" s="63"/>
      <c r="B527" s="64"/>
      <c r="C527" s="35"/>
      <c r="D527" s="41"/>
      <c r="E527" s="35"/>
    </row>
    <row r="528" ht="15.75" customHeight="1">
      <c r="A528" s="63"/>
      <c r="B528" s="64"/>
      <c r="C528" s="35"/>
      <c r="D528" s="41"/>
      <c r="E528" s="35"/>
    </row>
    <row r="529" ht="15.75" customHeight="1">
      <c r="A529" s="63"/>
      <c r="B529" s="64"/>
      <c r="C529" s="35"/>
      <c r="D529" s="41"/>
      <c r="E529" s="35"/>
    </row>
    <row r="530" ht="15.75" customHeight="1">
      <c r="A530" s="63"/>
      <c r="B530" s="64"/>
      <c r="C530" s="35"/>
      <c r="D530" s="41"/>
      <c r="E530" s="35"/>
    </row>
    <row r="531" ht="15.75" customHeight="1">
      <c r="A531" s="63"/>
      <c r="B531" s="64"/>
      <c r="C531" s="35"/>
      <c r="D531" s="41"/>
      <c r="E531" s="35"/>
    </row>
    <row r="532" ht="15.75" customHeight="1">
      <c r="A532" s="63"/>
      <c r="B532" s="64"/>
      <c r="C532" s="35"/>
      <c r="D532" s="41"/>
      <c r="E532" s="35"/>
    </row>
    <row r="533" ht="15.75" customHeight="1">
      <c r="A533" s="63"/>
      <c r="B533" s="64"/>
      <c r="C533" s="35"/>
      <c r="D533" s="41"/>
      <c r="E533" s="35"/>
    </row>
    <row r="534" ht="15.75" customHeight="1">
      <c r="A534" s="63"/>
      <c r="B534" s="64"/>
      <c r="C534" s="35"/>
      <c r="D534" s="41"/>
      <c r="E534" s="35"/>
    </row>
    <row r="535" ht="15.75" customHeight="1">
      <c r="A535" s="63"/>
      <c r="B535" s="64"/>
      <c r="C535" s="35"/>
      <c r="D535" s="41"/>
      <c r="E535" s="35"/>
    </row>
    <row r="536" ht="15.75" customHeight="1">
      <c r="A536" s="63"/>
      <c r="B536" s="64"/>
      <c r="C536" s="35"/>
      <c r="D536" s="41"/>
      <c r="E536" s="35"/>
    </row>
    <row r="537" ht="15.75" customHeight="1">
      <c r="A537" s="63"/>
      <c r="B537" s="64"/>
      <c r="C537" s="35"/>
      <c r="D537" s="41"/>
      <c r="E537" s="35"/>
    </row>
    <row r="538" ht="15.75" customHeight="1">
      <c r="A538" s="63"/>
      <c r="B538" s="64"/>
      <c r="C538" s="35"/>
      <c r="D538" s="41"/>
      <c r="E538" s="35"/>
    </row>
    <row r="539" ht="15.75" customHeight="1">
      <c r="A539" s="63"/>
      <c r="B539" s="64"/>
      <c r="C539" s="35"/>
      <c r="D539" s="41"/>
      <c r="E539" s="35"/>
    </row>
    <row r="540" ht="15.75" customHeight="1">
      <c r="A540" s="63"/>
      <c r="B540" s="64"/>
      <c r="C540" s="35"/>
      <c r="D540" s="41"/>
      <c r="E540" s="35"/>
    </row>
    <row r="541" ht="15.75" customHeight="1">
      <c r="A541" s="63"/>
      <c r="B541" s="64"/>
      <c r="C541" s="35"/>
      <c r="D541" s="41"/>
      <c r="E541" s="35"/>
    </row>
    <row r="542" ht="15.75" customHeight="1">
      <c r="A542" s="63"/>
      <c r="B542" s="64"/>
      <c r="C542" s="35"/>
      <c r="D542" s="41"/>
      <c r="E542" s="35"/>
    </row>
    <row r="543" ht="15.75" customHeight="1">
      <c r="A543" s="63"/>
      <c r="B543" s="64"/>
      <c r="C543" s="35"/>
      <c r="D543" s="41"/>
      <c r="E543" s="35"/>
    </row>
    <row r="544" ht="15.75" customHeight="1">
      <c r="A544" s="63"/>
      <c r="B544" s="64"/>
      <c r="C544" s="35"/>
      <c r="D544" s="41"/>
      <c r="E544" s="35"/>
    </row>
    <row r="545" ht="15.75" customHeight="1">
      <c r="A545" s="63"/>
      <c r="B545" s="64"/>
      <c r="C545" s="35"/>
      <c r="D545" s="41"/>
      <c r="E545" s="35"/>
    </row>
    <row r="546" ht="15.75" customHeight="1">
      <c r="A546" s="63"/>
      <c r="B546" s="64"/>
      <c r="C546" s="35"/>
      <c r="D546" s="41"/>
      <c r="E546" s="35"/>
    </row>
    <row r="547" ht="15.75" customHeight="1">
      <c r="A547" s="63"/>
      <c r="B547" s="64"/>
      <c r="C547" s="35"/>
      <c r="D547" s="41"/>
      <c r="E547" s="35"/>
    </row>
    <row r="548" ht="15.75" customHeight="1">
      <c r="A548" s="63"/>
      <c r="B548" s="64"/>
      <c r="C548" s="35"/>
      <c r="D548" s="41"/>
      <c r="E548" s="35"/>
    </row>
    <row r="549" ht="15.75" customHeight="1">
      <c r="A549" s="63"/>
      <c r="B549" s="64"/>
      <c r="C549" s="35"/>
      <c r="D549" s="41"/>
      <c r="E549" s="35"/>
    </row>
    <row r="550" ht="15.75" customHeight="1">
      <c r="A550" s="63"/>
      <c r="B550" s="64"/>
      <c r="C550" s="35"/>
      <c r="D550" s="41"/>
      <c r="E550" s="35"/>
    </row>
    <row r="551" ht="15.75" customHeight="1">
      <c r="A551" s="63"/>
      <c r="B551" s="64"/>
      <c r="C551" s="35"/>
      <c r="D551" s="41"/>
      <c r="E551" s="35"/>
    </row>
    <row r="552" ht="15.75" customHeight="1">
      <c r="A552" s="63"/>
      <c r="B552" s="64"/>
      <c r="C552" s="35"/>
      <c r="D552" s="41"/>
      <c r="E552" s="35"/>
    </row>
    <row r="553" ht="15.75" customHeight="1">
      <c r="A553" s="63"/>
      <c r="B553" s="64"/>
      <c r="C553" s="35"/>
      <c r="D553" s="41"/>
      <c r="E553" s="35"/>
    </row>
    <row r="554" ht="15.75" customHeight="1">
      <c r="A554" s="63"/>
      <c r="B554" s="64"/>
      <c r="C554" s="35"/>
      <c r="D554" s="41"/>
      <c r="E554" s="35"/>
    </row>
    <row r="555" ht="15.75" customHeight="1">
      <c r="A555" s="63"/>
      <c r="B555" s="64"/>
      <c r="C555" s="35"/>
      <c r="D555" s="41"/>
      <c r="E555" s="35"/>
    </row>
    <row r="556" ht="15.75" customHeight="1">
      <c r="A556" s="63"/>
      <c r="B556" s="64"/>
      <c r="C556" s="35"/>
      <c r="D556" s="41"/>
      <c r="E556" s="35"/>
    </row>
    <row r="557" ht="15.75" customHeight="1">
      <c r="A557" s="63"/>
      <c r="B557" s="64"/>
      <c r="C557" s="35"/>
      <c r="D557" s="41"/>
      <c r="E557" s="35"/>
    </row>
    <row r="558" ht="15.75" customHeight="1">
      <c r="A558" s="63"/>
      <c r="B558" s="64"/>
      <c r="C558" s="35"/>
      <c r="D558" s="41"/>
      <c r="E558" s="35"/>
    </row>
    <row r="559" ht="15.75" customHeight="1">
      <c r="A559" s="63"/>
      <c r="B559" s="64"/>
      <c r="C559" s="35"/>
      <c r="D559" s="41"/>
      <c r="E559" s="35"/>
    </row>
    <row r="560" ht="15.75" customHeight="1">
      <c r="A560" s="63"/>
      <c r="B560" s="64"/>
      <c r="C560" s="35"/>
      <c r="D560" s="41"/>
      <c r="E560" s="35"/>
    </row>
    <row r="561" ht="15.75" customHeight="1">
      <c r="A561" s="63"/>
      <c r="B561" s="64"/>
      <c r="C561" s="35"/>
      <c r="D561" s="41"/>
      <c r="E561" s="35"/>
    </row>
    <row r="562" ht="15.75" customHeight="1">
      <c r="A562" s="63"/>
      <c r="B562" s="64"/>
      <c r="C562" s="35"/>
      <c r="D562" s="41"/>
      <c r="E562" s="35"/>
    </row>
    <row r="563" ht="15.75" customHeight="1">
      <c r="A563" s="63"/>
      <c r="B563" s="64"/>
      <c r="C563" s="35"/>
      <c r="D563" s="41"/>
      <c r="E563" s="35"/>
    </row>
    <row r="564" ht="15.75" customHeight="1">
      <c r="A564" s="63"/>
      <c r="B564" s="64"/>
      <c r="C564" s="35"/>
      <c r="D564" s="41"/>
      <c r="E564" s="35"/>
    </row>
    <row r="565" ht="15.75" customHeight="1">
      <c r="A565" s="63"/>
      <c r="B565" s="64"/>
      <c r="C565" s="35"/>
      <c r="D565" s="41"/>
      <c r="E565" s="35"/>
    </row>
    <row r="566" ht="15.75" customHeight="1">
      <c r="A566" s="63"/>
      <c r="B566" s="64"/>
      <c r="C566" s="35"/>
      <c r="D566" s="41"/>
      <c r="E566" s="35"/>
    </row>
    <row r="567" ht="15.75" customHeight="1">
      <c r="A567" s="63"/>
      <c r="B567" s="64"/>
      <c r="C567" s="35"/>
      <c r="D567" s="41"/>
      <c r="E567" s="35"/>
    </row>
    <row r="568" ht="15.75" customHeight="1">
      <c r="A568" s="63"/>
      <c r="B568" s="64"/>
      <c r="C568" s="35"/>
      <c r="D568" s="41"/>
      <c r="E568" s="35"/>
    </row>
    <row r="569" ht="15.75" customHeight="1">
      <c r="A569" s="63"/>
      <c r="B569" s="64"/>
      <c r="C569" s="35"/>
      <c r="D569" s="41"/>
      <c r="E569" s="35"/>
    </row>
    <row r="570" ht="15.75" customHeight="1">
      <c r="A570" s="63"/>
      <c r="B570" s="64"/>
      <c r="C570" s="35"/>
      <c r="D570" s="41"/>
      <c r="E570" s="35"/>
    </row>
    <row r="571" ht="15.75" customHeight="1">
      <c r="A571" s="63"/>
      <c r="B571" s="64"/>
      <c r="C571" s="35"/>
      <c r="D571" s="41"/>
      <c r="E571" s="35"/>
    </row>
    <row r="572" ht="15.75" customHeight="1">
      <c r="A572" s="63"/>
      <c r="B572" s="64"/>
      <c r="C572" s="35"/>
      <c r="D572" s="41"/>
      <c r="E572" s="35"/>
    </row>
    <row r="573" ht="15.75" customHeight="1">
      <c r="A573" s="63"/>
      <c r="B573" s="64"/>
      <c r="C573" s="35"/>
      <c r="D573" s="41"/>
      <c r="E573" s="35"/>
    </row>
    <row r="574" ht="15.75" customHeight="1">
      <c r="A574" s="63"/>
      <c r="B574" s="64"/>
      <c r="C574" s="35"/>
      <c r="D574" s="41"/>
      <c r="E574" s="35"/>
    </row>
    <row r="575" ht="15.75" customHeight="1">
      <c r="A575" s="63"/>
      <c r="B575" s="64"/>
      <c r="C575" s="35"/>
      <c r="D575" s="41"/>
      <c r="E575" s="35"/>
    </row>
    <row r="576" ht="15.75" customHeight="1">
      <c r="A576" s="63"/>
      <c r="B576" s="64"/>
      <c r="C576" s="35"/>
      <c r="D576" s="41"/>
      <c r="E576" s="35"/>
    </row>
    <row r="577" ht="15.75" customHeight="1">
      <c r="A577" s="63"/>
      <c r="B577" s="64"/>
      <c r="C577" s="35"/>
      <c r="D577" s="41"/>
      <c r="E577" s="35"/>
    </row>
    <row r="578" ht="15.75" customHeight="1">
      <c r="A578" s="63"/>
      <c r="B578" s="64"/>
      <c r="C578" s="35"/>
      <c r="D578" s="41"/>
      <c r="E578" s="35"/>
    </row>
    <row r="579" ht="15.75" customHeight="1">
      <c r="A579" s="63"/>
      <c r="B579" s="64"/>
      <c r="C579" s="35"/>
      <c r="D579" s="41"/>
      <c r="E579" s="35"/>
    </row>
    <row r="580" ht="15.75" customHeight="1">
      <c r="A580" s="63"/>
      <c r="B580" s="64"/>
      <c r="C580" s="35"/>
      <c r="D580" s="41"/>
      <c r="E580" s="35"/>
    </row>
    <row r="581" ht="15.75" customHeight="1">
      <c r="A581" s="63"/>
      <c r="B581" s="64"/>
      <c r="C581" s="35"/>
      <c r="D581" s="41"/>
      <c r="E581" s="35"/>
    </row>
    <row r="582" ht="15.75" customHeight="1">
      <c r="A582" s="63"/>
      <c r="B582" s="64"/>
      <c r="C582" s="35"/>
      <c r="D582" s="41"/>
      <c r="E582" s="35"/>
    </row>
    <row r="583" ht="15.75" customHeight="1">
      <c r="A583" s="63"/>
      <c r="B583" s="64"/>
      <c r="C583" s="35"/>
      <c r="D583" s="41"/>
      <c r="E583" s="35"/>
    </row>
    <row r="584" ht="15.75" customHeight="1">
      <c r="A584" s="63"/>
      <c r="B584" s="64"/>
      <c r="C584" s="35"/>
      <c r="D584" s="41"/>
      <c r="E584" s="35"/>
    </row>
    <row r="585" ht="15.75" customHeight="1">
      <c r="A585" s="63"/>
      <c r="B585" s="64"/>
      <c r="C585" s="35"/>
      <c r="D585" s="41"/>
      <c r="E585" s="35"/>
    </row>
    <row r="586" ht="15.75" customHeight="1">
      <c r="A586" s="63"/>
      <c r="B586" s="64"/>
      <c r="C586" s="35"/>
      <c r="D586" s="41"/>
      <c r="E586" s="35"/>
    </row>
    <row r="587" ht="15.75" customHeight="1">
      <c r="A587" s="63"/>
      <c r="B587" s="64"/>
      <c r="C587" s="35"/>
      <c r="D587" s="41"/>
      <c r="E587" s="35"/>
    </row>
    <row r="588" ht="15.75" customHeight="1">
      <c r="A588" s="63"/>
      <c r="B588" s="64"/>
      <c r="C588" s="35"/>
      <c r="D588" s="41"/>
      <c r="E588" s="35"/>
    </row>
    <row r="589" ht="15.75" customHeight="1">
      <c r="A589" s="63"/>
      <c r="B589" s="64"/>
      <c r="C589" s="35"/>
      <c r="D589" s="41"/>
      <c r="E589" s="35"/>
    </row>
    <row r="590" ht="15.75" customHeight="1">
      <c r="A590" s="63"/>
      <c r="B590" s="64"/>
      <c r="C590" s="35"/>
      <c r="D590" s="41"/>
      <c r="E590" s="35"/>
    </row>
    <row r="591" ht="15.75" customHeight="1">
      <c r="A591" s="63"/>
      <c r="B591" s="64"/>
      <c r="C591" s="35"/>
      <c r="D591" s="41"/>
      <c r="E591" s="35"/>
    </row>
    <row r="592" ht="15.75" customHeight="1">
      <c r="A592" s="63"/>
      <c r="B592" s="64"/>
      <c r="C592" s="35"/>
      <c r="D592" s="41"/>
      <c r="E592" s="35"/>
    </row>
    <row r="593" ht="15.75" customHeight="1">
      <c r="A593" s="63"/>
      <c r="B593" s="64"/>
      <c r="C593" s="35"/>
      <c r="D593" s="41"/>
      <c r="E593" s="35"/>
    </row>
    <row r="594" ht="15.75" customHeight="1">
      <c r="A594" s="63"/>
      <c r="B594" s="64"/>
      <c r="C594" s="35"/>
      <c r="D594" s="41"/>
      <c r="E594" s="35"/>
    </row>
    <row r="595" ht="15.75" customHeight="1">
      <c r="A595" s="63"/>
      <c r="B595" s="64"/>
      <c r="C595" s="35"/>
      <c r="D595" s="41"/>
      <c r="E595" s="35"/>
    </row>
    <row r="596" ht="15.75" customHeight="1">
      <c r="A596" s="63"/>
      <c r="B596" s="64"/>
      <c r="C596" s="35"/>
      <c r="D596" s="41"/>
      <c r="E596" s="35"/>
    </row>
    <row r="597" ht="15.75" customHeight="1">
      <c r="A597" s="63"/>
      <c r="B597" s="64"/>
      <c r="C597" s="35"/>
      <c r="D597" s="41"/>
      <c r="E597" s="35"/>
    </row>
    <row r="598" ht="15.75" customHeight="1">
      <c r="A598" s="63"/>
      <c r="B598" s="64"/>
      <c r="C598" s="35"/>
      <c r="D598" s="41"/>
      <c r="E598" s="35"/>
    </row>
    <row r="599" ht="15.75" customHeight="1">
      <c r="A599" s="63"/>
      <c r="B599" s="64"/>
      <c r="C599" s="35"/>
      <c r="D599" s="41"/>
      <c r="E599" s="35"/>
    </row>
    <row r="600" ht="15.75" customHeight="1">
      <c r="A600" s="63"/>
      <c r="B600" s="64"/>
      <c r="C600" s="35"/>
      <c r="D600" s="41"/>
      <c r="E600" s="35"/>
    </row>
    <row r="601" ht="15.75" customHeight="1">
      <c r="A601" s="63"/>
      <c r="B601" s="64"/>
      <c r="C601" s="35"/>
      <c r="D601" s="41"/>
      <c r="E601" s="35"/>
    </row>
    <row r="602" ht="15.75" customHeight="1">
      <c r="A602" s="63"/>
      <c r="B602" s="64"/>
      <c r="C602" s="35"/>
      <c r="D602" s="41"/>
      <c r="E602" s="35"/>
    </row>
    <row r="603" ht="15.75" customHeight="1">
      <c r="A603" s="63"/>
      <c r="B603" s="64"/>
      <c r="C603" s="35"/>
      <c r="D603" s="41"/>
      <c r="E603" s="35"/>
    </row>
    <row r="604" ht="15.75" customHeight="1">
      <c r="A604" s="63"/>
      <c r="B604" s="64"/>
      <c r="C604" s="35"/>
      <c r="D604" s="41"/>
      <c r="E604" s="35"/>
    </row>
    <row r="605" ht="15.75" customHeight="1">
      <c r="A605" s="63"/>
      <c r="B605" s="64"/>
      <c r="C605" s="35"/>
      <c r="D605" s="41"/>
      <c r="E605" s="35"/>
    </row>
    <row r="606" ht="15.75" customHeight="1">
      <c r="A606" s="63"/>
      <c r="B606" s="64"/>
      <c r="C606" s="35"/>
      <c r="D606" s="41"/>
      <c r="E606" s="35"/>
    </row>
    <row r="607" ht="15.75" customHeight="1">
      <c r="A607" s="63"/>
      <c r="B607" s="64"/>
      <c r="C607" s="35"/>
      <c r="D607" s="41"/>
      <c r="E607" s="35"/>
    </row>
    <row r="608" ht="15.75" customHeight="1">
      <c r="A608" s="63"/>
      <c r="B608" s="64"/>
      <c r="C608" s="35"/>
      <c r="D608" s="41"/>
      <c r="E608" s="35"/>
    </row>
    <row r="609" ht="15.75" customHeight="1">
      <c r="A609" s="63"/>
      <c r="B609" s="64"/>
      <c r="C609" s="35"/>
      <c r="D609" s="41"/>
      <c r="E609" s="35"/>
    </row>
    <row r="610" ht="15.75" customHeight="1">
      <c r="A610" s="63"/>
      <c r="B610" s="64"/>
      <c r="C610" s="35"/>
      <c r="D610" s="41"/>
      <c r="E610" s="35"/>
    </row>
    <row r="611" ht="15.75" customHeight="1">
      <c r="A611" s="63"/>
      <c r="B611" s="64"/>
      <c r="C611" s="35"/>
      <c r="D611" s="41"/>
      <c r="E611" s="35"/>
    </row>
    <row r="612" ht="15.75" customHeight="1">
      <c r="A612" s="63"/>
      <c r="B612" s="64"/>
      <c r="C612" s="35"/>
      <c r="D612" s="41"/>
      <c r="E612" s="35"/>
    </row>
    <row r="613" ht="15.75" customHeight="1">
      <c r="A613" s="63"/>
      <c r="B613" s="64"/>
      <c r="C613" s="35"/>
      <c r="D613" s="41"/>
      <c r="E613" s="35"/>
    </row>
    <row r="614" ht="15.75" customHeight="1">
      <c r="A614" s="63"/>
      <c r="B614" s="64"/>
      <c r="C614" s="35"/>
      <c r="D614" s="41"/>
      <c r="E614" s="35"/>
    </row>
    <row r="615" ht="15.75" customHeight="1">
      <c r="A615" s="63"/>
      <c r="B615" s="64"/>
      <c r="C615" s="35"/>
      <c r="D615" s="41"/>
      <c r="E615" s="35"/>
    </row>
    <row r="616" ht="15.75" customHeight="1">
      <c r="A616" s="63"/>
      <c r="B616" s="64"/>
      <c r="C616" s="35"/>
      <c r="D616" s="41"/>
      <c r="E616" s="35"/>
    </row>
    <row r="617" ht="15.75" customHeight="1">
      <c r="A617" s="63"/>
      <c r="B617" s="64"/>
      <c r="C617" s="35"/>
      <c r="D617" s="41"/>
      <c r="E617" s="35"/>
    </row>
    <row r="618" ht="15.75" customHeight="1">
      <c r="A618" s="63"/>
      <c r="B618" s="64"/>
      <c r="C618" s="35"/>
      <c r="D618" s="41"/>
      <c r="E618" s="35"/>
    </row>
    <row r="619" ht="15.75" customHeight="1">
      <c r="A619" s="63"/>
      <c r="B619" s="64"/>
      <c r="C619" s="35"/>
      <c r="D619" s="41"/>
      <c r="E619" s="35"/>
    </row>
    <row r="620" ht="15.75" customHeight="1">
      <c r="A620" s="63"/>
      <c r="B620" s="64"/>
      <c r="C620" s="35"/>
      <c r="D620" s="41"/>
      <c r="E620" s="35"/>
    </row>
    <row r="621" ht="15.75" customHeight="1">
      <c r="A621" s="63"/>
      <c r="B621" s="64"/>
      <c r="C621" s="35"/>
      <c r="D621" s="41"/>
      <c r="E621" s="35"/>
    </row>
    <row r="622" ht="15.75" customHeight="1">
      <c r="A622" s="63"/>
      <c r="B622" s="64"/>
      <c r="C622" s="35"/>
      <c r="D622" s="41"/>
      <c r="E622" s="35"/>
    </row>
    <row r="623" ht="15.75" customHeight="1">
      <c r="A623" s="63"/>
      <c r="B623" s="64"/>
      <c r="C623" s="35"/>
      <c r="D623" s="41"/>
      <c r="E623" s="35"/>
    </row>
    <row r="624" ht="15.75" customHeight="1">
      <c r="A624" s="63"/>
      <c r="B624" s="64"/>
      <c r="C624" s="35"/>
      <c r="D624" s="41"/>
      <c r="E624" s="35"/>
    </row>
    <row r="625" ht="15.75" customHeight="1">
      <c r="A625" s="63"/>
      <c r="B625" s="64"/>
      <c r="C625" s="35"/>
      <c r="D625" s="41"/>
      <c r="E625" s="35"/>
    </row>
    <row r="626" ht="15.75" customHeight="1">
      <c r="A626" s="63"/>
      <c r="B626" s="64"/>
      <c r="C626" s="35"/>
      <c r="D626" s="41"/>
      <c r="E626" s="35"/>
    </row>
    <row r="627" ht="15.75" customHeight="1">
      <c r="A627" s="63"/>
      <c r="B627" s="64"/>
      <c r="C627" s="35"/>
      <c r="D627" s="41"/>
      <c r="E627" s="35"/>
    </row>
    <row r="628" ht="15.75" customHeight="1">
      <c r="A628" s="63"/>
      <c r="B628" s="64"/>
      <c r="C628" s="35"/>
      <c r="D628" s="41"/>
      <c r="E628" s="35"/>
    </row>
    <row r="629" ht="15.75" customHeight="1">
      <c r="A629" s="63"/>
      <c r="B629" s="64"/>
      <c r="C629" s="35"/>
      <c r="D629" s="41"/>
      <c r="E629" s="35"/>
    </row>
    <row r="630" ht="15.75" customHeight="1">
      <c r="A630" s="63"/>
      <c r="B630" s="64"/>
      <c r="C630" s="35"/>
      <c r="D630" s="41"/>
      <c r="E630" s="35"/>
    </row>
    <row r="631" ht="15.75" customHeight="1">
      <c r="A631" s="63"/>
      <c r="B631" s="64"/>
      <c r="C631" s="35"/>
      <c r="D631" s="41"/>
      <c r="E631" s="35"/>
    </row>
    <row r="632" ht="15.75" customHeight="1">
      <c r="A632" s="63"/>
      <c r="B632" s="64"/>
      <c r="C632" s="35"/>
      <c r="D632" s="41"/>
      <c r="E632" s="35"/>
    </row>
    <row r="633" ht="15.75" customHeight="1">
      <c r="A633" s="63"/>
      <c r="B633" s="64"/>
      <c r="C633" s="35"/>
      <c r="D633" s="41"/>
      <c r="E633" s="35"/>
    </row>
    <row r="634" ht="15.75" customHeight="1">
      <c r="A634" s="63"/>
      <c r="B634" s="64"/>
      <c r="C634" s="35"/>
      <c r="D634" s="41"/>
      <c r="E634" s="35"/>
    </row>
    <row r="635" ht="15.75" customHeight="1">
      <c r="A635" s="63"/>
      <c r="B635" s="64"/>
      <c r="C635" s="35"/>
      <c r="D635" s="41"/>
      <c r="E635" s="35"/>
    </row>
    <row r="636" ht="15.75" customHeight="1">
      <c r="A636" s="63"/>
      <c r="B636" s="64"/>
      <c r="C636" s="35"/>
      <c r="D636" s="41"/>
      <c r="E636" s="35"/>
    </row>
    <row r="637" ht="15.75" customHeight="1">
      <c r="A637" s="63"/>
      <c r="B637" s="64"/>
      <c r="C637" s="35"/>
      <c r="D637" s="41"/>
      <c r="E637" s="35"/>
    </row>
    <row r="638" ht="15.75" customHeight="1">
      <c r="A638" s="63"/>
      <c r="B638" s="64"/>
      <c r="C638" s="35"/>
      <c r="D638" s="41"/>
      <c r="E638" s="35"/>
    </row>
    <row r="639" ht="15.75" customHeight="1">
      <c r="A639" s="63"/>
      <c r="B639" s="64"/>
      <c r="C639" s="35"/>
      <c r="D639" s="41"/>
      <c r="E639" s="35"/>
    </row>
    <row r="640" ht="15.75" customHeight="1">
      <c r="A640" s="63"/>
      <c r="B640" s="64"/>
      <c r="C640" s="35"/>
      <c r="D640" s="41"/>
      <c r="E640" s="35"/>
    </row>
    <row r="641" ht="15.75" customHeight="1">
      <c r="A641" s="63"/>
      <c r="B641" s="64"/>
      <c r="C641" s="35"/>
      <c r="D641" s="41"/>
      <c r="E641" s="35"/>
    </row>
    <row r="642" ht="15.75" customHeight="1">
      <c r="A642" s="63"/>
      <c r="B642" s="64"/>
      <c r="C642" s="35"/>
      <c r="D642" s="41"/>
      <c r="E642" s="35"/>
    </row>
    <row r="643" ht="15.75" customHeight="1">
      <c r="A643" s="63"/>
      <c r="B643" s="64"/>
      <c r="C643" s="35"/>
      <c r="D643" s="41"/>
      <c r="E643" s="35"/>
    </row>
    <row r="644" ht="15.75" customHeight="1">
      <c r="A644" s="63"/>
      <c r="B644" s="64"/>
      <c r="C644" s="35"/>
      <c r="D644" s="41"/>
      <c r="E644" s="35"/>
    </row>
    <row r="645" ht="15.75" customHeight="1">
      <c r="A645" s="63"/>
      <c r="B645" s="64"/>
      <c r="C645" s="35"/>
      <c r="D645" s="41"/>
      <c r="E645" s="35"/>
    </row>
    <row r="646" ht="15.75" customHeight="1">
      <c r="A646" s="63"/>
      <c r="B646" s="64"/>
      <c r="C646" s="35"/>
      <c r="D646" s="41"/>
      <c r="E646" s="35"/>
    </row>
    <row r="647" ht="15.75" customHeight="1">
      <c r="A647" s="63"/>
      <c r="B647" s="64"/>
      <c r="C647" s="35"/>
      <c r="D647" s="41"/>
      <c r="E647" s="35"/>
    </row>
    <row r="648" ht="15.75" customHeight="1">
      <c r="A648" s="63"/>
      <c r="B648" s="64"/>
      <c r="C648" s="35"/>
      <c r="D648" s="41"/>
      <c r="E648" s="35"/>
    </row>
    <row r="649" ht="15.75" customHeight="1">
      <c r="A649" s="63"/>
      <c r="B649" s="64"/>
      <c r="C649" s="35"/>
      <c r="D649" s="41"/>
      <c r="E649" s="35"/>
    </row>
    <row r="650" ht="15.75" customHeight="1">
      <c r="A650" s="63"/>
      <c r="B650" s="64"/>
      <c r="C650" s="35"/>
      <c r="D650" s="41"/>
      <c r="E650" s="35"/>
    </row>
    <row r="651" ht="15.75" customHeight="1">
      <c r="A651" s="63"/>
      <c r="B651" s="64"/>
      <c r="C651" s="35"/>
      <c r="D651" s="41"/>
      <c r="E651" s="35"/>
    </row>
    <row r="652" ht="15.75" customHeight="1">
      <c r="A652" s="63"/>
      <c r="B652" s="64"/>
      <c r="C652" s="35"/>
      <c r="D652" s="41"/>
      <c r="E652" s="35"/>
    </row>
    <row r="653" ht="15.75" customHeight="1">
      <c r="A653" s="63"/>
      <c r="B653" s="64"/>
      <c r="C653" s="35"/>
      <c r="D653" s="41"/>
      <c r="E653" s="35"/>
    </row>
    <row r="654" ht="15.75" customHeight="1">
      <c r="A654" s="63"/>
      <c r="B654" s="64"/>
      <c r="C654" s="35"/>
      <c r="D654" s="41"/>
      <c r="E654" s="35"/>
    </row>
    <row r="655" ht="15.75" customHeight="1">
      <c r="A655" s="63"/>
      <c r="B655" s="64"/>
      <c r="C655" s="35"/>
      <c r="D655" s="41"/>
      <c r="E655" s="35"/>
    </row>
    <row r="656" ht="15.75" customHeight="1">
      <c r="A656" s="63"/>
      <c r="B656" s="64"/>
      <c r="C656" s="35"/>
      <c r="D656" s="41"/>
      <c r="E656" s="35"/>
    </row>
    <row r="657" ht="15.75" customHeight="1">
      <c r="A657" s="63"/>
      <c r="B657" s="64"/>
      <c r="C657" s="35"/>
      <c r="D657" s="41"/>
      <c r="E657" s="35"/>
    </row>
    <row r="658" ht="15.75" customHeight="1">
      <c r="A658" s="63"/>
      <c r="B658" s="64"/>
      <c r="C658" s="35"/>
      <c r="D658" s="41"/>
      <c r="E658" s="35"/>
    </row>
    <row r="659" ht="15.75" customHeight="1">
      <c r="A659" s="63"/>
      <c r="B659" s="64"/>
      <c r="C659" s="35"/>
      <c r="D659" s="41"/>
      <c r="E659" s="35"/>
    </row>
    <row r="660" ht="15.75" customHeight="1">
      <c r="A660" s="63"/>
      <c r="B660" s="64"/>
      <c r="C660" s="35"/>
      <c r="D660" s="41"/>
      <c r="E660" s="35"/>
    </row>
    <row r="661" ht="15.75" customHeight="1">
      <c r="A661" s="63"/>
      <c r="B661" s="64"/>
      <c r="C661" s="35"/>
      <c r="D661" s="41"/>
      <c r="E661" s="35"/>
    </row>
    <row r="662" ht="15.75" customHeight="1">
      <c r="A662" s="63"/>
      <c r="B662" s="64"/>
      <c r="C662" s="35"/>
      <c r="D662" s="41"/>
      <c r="E662" s="35"/>
    </row>
    <row r="663" ht="15.75" customHeight="1">
      <c r="A663" s="63"/>
      <c r="B663" s="64"/>
      <c r="C663" s="35"/>
      <c r="D663" s="41"/>
      <c r="E663" s="35"/>
    </row>
    <row r="664" ht="15.75" customHeight="1">
      <c r="A664" s="63"/>
      <c r="B664" s="64"/>
      <c r="C664" s="35"/>
      <c r="D664" s="41"/>
      <c r="E664" s="35"/>
    </row>
    <row r="665" ht="15.75" customHeight="1">
      <c r="A665" s="63"/>
      <c r="B665" s="64"/>
      <c r="C665" s="35"/>
      <c r="D665" s="41"/>
      <c r="E665" s="35"/>
    </row>
    <row r="666" ht="15.75" customHeight="1">
      <c r="A666" s="63"/>
      <c r="B666" s="64"/>
      <c r="C666" s="35"/>
      <c r="D666" s="41"/>
      <c r="E666" s="35"/>
    </row>
    <row r="667" ht="15.75" customHeight="1">
      <c r="A667" s="63"/>
      <c r="B667" s="64"/>
      <c r="C667" s="35"/>
      <c r="D667" s="41"/>
      <c r="E667" s="35"/>
    </row>
    <row r="668" ht="15.75" customHeight="1">
      <c r="A668" s="63"/>
      <c r="B668" s="64"/>
      <c r="C668" s="35"/>
      <c r="D668" s="41"/>
      <c r="E668" s="35"/>
    </row>
    <row r="669" ht="15.75" customHeight="1">
      <c r="A669" s="63"/>
      <c r="B669" s="64"/>
      <c r="C669" s="35"/>
      <c r="D669" s="41"/>
      <c r="E669" s="35"/>
    </row>
    <row r="670" ht="15.75" customHeight="1">
      <c r="A670" s="63"/>
      <c r="B670" s="64"/>
      <c r="C670" s="35"/>
      <c r="D670" s="41"/>
      <c r="E670" s="35"/>
    </row>
    <row r="671" ht="15.75" customHeight="1">
      <c r="A671" s="63"/>
      <c r="B671" s="64"/>
      <c r="C671" s="35"/>
      <c r="D671" s="41"/>
      <c r="E671" s="35"/>
    </row>
    <row r="672" ht="15.75" customHeight="1">
      <c r="A672" s="63"/>
      <c r="B672" s="64"/>
      <c r="C672" s="35"/>
      <c r="D672" s="41"/>
      <c r="E672" s="35"/>
    </row>
    <row r="673" ht="15.75" customHeight="1">
      <c r="A673" s="63"/>
      <c r="B673" s="64"/>
      <c r="C673" s="35"/>
      <c r="D673" s="41"/>
      <c r="E673" s="35"/>
    </row>
    <row r="674" ht="15.75" customHeight="1">
      <c r="A674" s="63"/>
      <c r="B674" s="64"/>
      <c r="C674" s="35"/>
      <c r="D674" s="41"/>
      <c r="E674" s="35"/>
    </row>
    <row r="675" ht="15.75" customHeight="1">
      <c r="A675" s="63"/>
      <c r="B675" s="64"/>
      <c r="C675" s="35"/>
      <c r="D675" s="41"/>
      <c r="E675" s="35"/>
    </row>
    <row r="676" ht="15.75" customHeight="1">
      <c r="A676" s="63"/>
      <c r="B676" s="64"/>
      <c r="C676" s="35"/>
      <c r="D676" s="41"/>
      <c r="E676" s="35"/>
    </row>
    <row r="677" ht="15.75" customHeight="1">
      <c r="A677" s="63"/>
      <c r="B677" s="64"/>
      <c r="C677" s="35"/>
      <c r="D677" s="41"/>
      <c r="E677" s="35"/>
    </row>
    <row r="678" ht="15.75" customHeight="1">
      <c r="A678" s="63"/>
      <c r="B678" s="64"/>
      <c r="C678" s="35"/>
      <c r="D678" s="41"/>
      <c r="E678" s="35"/>
    </row>
    <row r="679" ht="15.75" customHeight="1">
      <c r="A679" s="63"/>
      <c r="B679" s="64"/>
      <c r="C679" s="35"/>
      <c r="D679" s="41"/>
      <c r="E679" s="35"/>
    </row>
    <row r="680" ht="15.75" customHeight="1">
      <c r="A680" s="63"/>
      <c r="B680" s="64"/>
      <c r="C680" s="35"/>
      <c r="D680" s="41"/>
      <c r="E680" s="35"/>
    </row>
    <row r="681" ht="15.75" customHeight="1">
      <c r="A681" s="63"/>
      <c r="B681" s="64"/>
      <c r="C681" s="35"/>
      <c r="D681" s="41"/>
      <c r="E681" s="35"/>
    </row>
    <row r="682" ht="15.75" customHeight="1">
      <c r="A682" s="63"/>
      <c r="B682" s="64"/>
      <c r="C682" s="35"/>
      <c r="D682" s="41"/>
      <c r="E682" s="35"/>
    </row>
    <row r="683" ht="15.75" customHeight="1">
      <c r="A683" s="63"/>
      <c r="B683" s="64"/>
      <c r="C683" s="35"/>
      <c r="D683" s="41"/>
      <c r="E683" s="35"/>
    </row>
    <row r="684" ht="15.75" customHeight="1">
      <c r="A684" s="63"/>
      <c r="B684" s="64"/>
      <c r="C684" s="35"/>
      <c r="D684" s="41"/>
      <c r="E684" s="35"/>
    </row>
    <row r="685" ht="15.75" customHeight="1">
      <c r="A685" s="63"/>
      <c r="B685" s="64"/>
      <c r="C685" s="35"/>
      <c r="D685" s="41"/>
      <c r="E685" s="35"/>
    </row>
    <row r="686" ht="15.75" customHeight="1">
      <c r="A686" s="63"/>
      <c r="B686" s="64"/>
      <c r="C686" s="35"/>
      <c r="D686" s="41"/>
      <c r="E686" s="35"/>
    </row>
    <row r="687" ht="15.75" customHeight="1">
      <c r="A687" s="63"/>
      <c r="B687" s="64"/>
      <c r="C687" s="35"/>
      <c r="D687" s="41"/>
      <c r="E687" s="35"/>
    </row>
    <row r="688" ht="15.75" customHeight="1">
      <c r="A688" s="63"/>
      <c r="B688" s="64"/>
      <c r="C688" s="35"/>
      <c r="D688" s="41"/>
      <c r="E688" s="35"/>
    </row>
    <row r="689" ht="15.75" customHeight="1">
      <c r="A689" s="63"/>
      <c r="B689" s="64"/>
      <c r="C689" s="35"/>
      <c r="D689" s="41"/>
      <c r="E689" s="35"/>
    </row>
    <row r="690" ht="15.75" customHeight="1">
      <c r="A690" s="63"/>
      <c r="B690" s="64"/>
      <c r="C690" s="35"/>
      <c r="D690" s="41"/>
      <c r="E690" s="35"/>
    </row>
    <row r="691" ht="15.75" customHeight="1">
      <c r="A691" s="63"/>
      <c r="B691" s="64"/>
      <c r="C691" s="35"/>
      <c r="D691" s="41"/>
      <c r="E691" s="35"/>
    </row>
    <row r="692" ht="15.75" customHeight="1">
      <c r="A692" s="63"/>
      <c r="B692" s="64"/>
      <c r="C692" s="35"/>
      <c r="D692" s="41"/>
      <c r="E692" s="35"/>
    </row>
    <row r="693" ht="15.75" customHeight="1">
      <c r="A693" s="63"/>
      <c r="B693" s="64"/>
      <c r="C693" s="35"/>
      <c r="D693" s="41"/>
      <c r="E693" s="35"/>
    </row>
    <row r="694" ht="15.75" customHeight="1">
      <c r="A694" s="63"/>
      <c r="B694" s="64"/>
      <c r="C694" s="35"/>
      <c r="D694" s="41"/>
      <c r="E694" s="35"/>
    </row>
    <row r="695" ht="15.75" customHeight="1">
      <c r="A695" s="63"/>
      <c r="B695" s="64"/>
      <c r="C695" s="35"/>
      <c r="D695" s="41"/>
      <c r="E695" s="35"/>
    </row>
    <row r="696" ht="15.75" customHeight="1">
      <c r="A696" s="63"/>
      <c r="B696" s="64"/>
      <c r="C696" s="35"/>
      <c r="D696" s="41"/>
      <c r="E696" s="35"/>
    </row>
    <row r="697" ht="15.75" customHeight="1">
      <c r="A697" s="63"/>
      <c r="B697" s="64"/>
      <c r="C697" s="35"/>
      <c r="D697" s="41"/>
      <c r="E697" s="35"/>
    </row>
    <row r="698" ht="15.75" customHeight="1">
      <c r="A698" s="63"/>
      <c r="B698" s="64"/>
      <c r="C698" s="35"/>
      <c r="D698" s="41"/>
      <c r="E698" s="35"/>
    </row>
    <row r="699" ht="15.75" customHeight="1">
      <c r="A699" s="63"/>
      <c r="B699" s="64"/>
      <c r="C699" s="35"/>
      <c r="D699" s="41"/>
      <c r="E699" s="35"/>
    </row>
    <row r="700" ht="15.75" customHeight="1">
      <c r="A700" s="63"/>
      <c r="B700" s="64"/>
      <c r="C700" s="35"/>
      <c r="D700" s="41"/>
      <c r="E700" s="35"/>
    </row>
    <row r="701" ht="15.75" customHeight="1">
      <c r="A701" s="63"/>
      <c r="B701" s="64"/>
      <c r="C701" s="35"/>
      <c r="D701" s="41"/>
      <c r="E701" s="35"/>
    </row>
    <row r="702" ht="15.75" customHeight="1">
      <c r="A702" s="63"/>
      <c r="B702" s="64"/>
      <c r="C702" s="35"/>
      <c r="D702" s="41"/>
      <c r="E702" s="35"/>
    </row>
    <row r="703" ht="15.75" customHeight="1">
      <c r="A703" s="63"/>
      <c r="B703" s="64"/>
      <c r="C703" s="35"/>
      <c r="D703" s="41"/>
      <c r="E703" s="35"/>
    </row>
    <row r="704" ht="15.75" customHeight="1">
      <c r="A704" s="63"/>
      <c r="B704" s="64"/>
      <c r="C704" s="35"/>
      <c r="D704" s="41"/>
      <c r="E704" s="35"/>
    </row>
    <row r="705" ht="15.75" customHeight="1">
      <c r="A705" s="63"/>
      <c r="B705" s="64"/>
      <c r="C705" s="35"/>
      <c r="D705" s="41"/>
      <c r="E705" s="35"/>
    </row>
    <row r="706" ht="15.75" customHeight="1">
      <c r="A706" s="63"/>
      <c r="B706" s="64"/>
      <c r="C706" s="35"/>
      <c r="D706" s="41"/>
      <c r="E706" s="35"/>
    </row>
    <row r="707" ht="15.75" customHeight="1">
      <c r="A707" s="63"/>
      <c r="B707" s="64"/>
      <c r="C707" s="35"/>
      <c r="D707" s="41"/>
      <c r="E707" s="35"/>
    </row>
    <row r="708" ht="15.75" customHeight="1">
      <c r="A708" s="63"/>
      <c r="B708" s="64"/>
      <c r="C708" s="35"/>
      <c r="D708" s="41"/>
      <c r="E708" s="35"/>
    </row>
    <row r="709" ht="15.75" customHeight="1">
      <c r="A709" s="63"/>
      <c r="B709" s="64"/>
      <c r="C709" s="35"/>
      <c r="D709" s="41"/>
      <c r="E709" s="35"/>
    </row>
    <row r="710" ht="15.75" customHeight="1">
      <c r="A710" s="63"/>
      <c r="B710" s="64"/>
      <c r="C710" s="35"/>
      <c r="D710" s="41"/>
      <c r="E710" s="35"/>
    </row>
    <row r="711" ht="15.75" customHeight="1">
      <c r="A711" s="63"/>
      <c r="B711" s="64"/>
      <c r="C711" s="35"/>
      <c r="D711" s="41"/>
      <c r="E711" s="35"/>
    </row>
    <row r="712" ht="15.75" customHeight="1">
      <c r="A712" s="63"/>
      <c r="B712" s="64"/>
      <c r="C712" s="35"/>
      <c r="D712" s="41"/>
      <c r="E712" s="35"/>
    </row>
    <row r="713" ht="15.75" customHeight="1">
      <c r="A713" s="63"/>
      <c r="B713" s="64"/>
      <c r="C713" s="35"/>
      <c r="D713" s="41"/>
      <c r="E713" s="35"/>
    </row>
    <row r="714" ht="15.75" customHeight="1">
      <c r="A714" s="63"/>
      <c r="B714" s="64"/>
      <c r="C714" s="35"/>
      <c r="D714" s="41"/>
      <c r="E714" s="35"/>
    </row>
    <row r="715" ht="15.75" customHeight="1">
      <c r="A715" s="63"/>
      <c r="B715" s="64"/>
      <c r="C715" s="35"/>
      <c r="D715" s="41"/>
      <c r="E715" s="35"/>
    </row>
    <row r="716" ht="15.75" customHeight="1">
      <c r="A716" s="63"/>
      <c r="B716" s="64"/>
      <c r="C716" s="35"/>
      <c r="D716" s="41"/>
      <c r="E716" s="35"/>
    </row>
    <row r="717" ht="15.75" customHeight="1">
      <c r="A717" s="63"/>
      <c r="B717" s="64"/>
      <c r="C717" s="35"/>
      <c r="D717" s="41"/>
      <c r="E717" s="35"/>
    </row>
    <row r="718" ht="15.75" customHeight="1">
      <c r="A718" s="63"/>
      <c r="B718" s="64"/>
      <c r="C718" s="35"/>
      <c r="D718" s="41"/>
      <c r="E718" s="35"/>
    </row>
    <row r="719" ht="15.75" customHeight="1">
      <c r="A719" s="63"/>
      <c r="B719" s="64"/>
      <c r="C719" s="35"/>
      <c r="D719" s="41"/>
      <c r="E719" s="35"/>
    </row>
    <row r="720" ht="15.75" customHeight="1">
      <c r="A720" s="63"/>
      <c r="B720" s="64"/>
      <c r="C720" s="35"/>
      <c r="D720" s="41"/>
      <c r="E720" s="35"/>
    </row>
    <row r="721" ht="15.75" customHeight="1">
      <c r="A721" s="63"/>
      <c r="B721" s="64"/>
      <c r="C721" s="35"/>
      <c r="D721" s="41"/>
      <c r="E721" s="35"/>
    </row>
    <row r="722" ht="15.75" customHeight="1">
      <c r="A722" s="63"/>
      <c r="B722" s="64"/>
      <c r="C722" s="35"/>
      <c r="D722" s="41"/>
      <c r="E722" s="35"/>
    </row>
    <row r="723" ht="15.75" customHeight="1">
      <c r="A723" s="63"/>
      <c r="B723" s="64"/>
      <c r="C723" s="35"/>
      <c r="D723" s="41"/>
      <c r="E723" s="35"/>
    </row>
    <row r="724" ht="15.75" customHeight="1">
      <c r="A724" s="63"/>
      <c r="B724" s="64"/>
      <c r="C724" s="35"/>
      <c r="D724" s="41"/>
      <c r="E724" s="35"/>
    </row>
    <row r="725" ht="15.75" customHeight="1">
      <c r="A725" s="63"/>
      <c r="B725" s="64"/>
      <c r="C725" s="35"/>
      <c r="D725" s="41"/>
      <c r="E725" s="35"/>
    </row>
    <row r="726" ht="15.75" customHeight="1">
      <c r="A726" s="63"/>
      <c r="B726" s="64"/>
      <c r="C726" s="35"/>
      <c r="D726" s="41"/>
      <c r="E726" s="35"/>
    </row>
    <row r="727" ht="15.75" customHeight="1">
      <c r="A727" s="63"/>
      <c r="B727" s="64"/>
      <c r="C727" s="35"/>
      <c r="D727" s="41"/>
      <c r="E727" s="35"/>
    </row>
    <row r="728" ht="15.75" customHeight="1">
      <c r="A728" s="63"/>
      <c r="B728" s="64"/>
      <c r="C728" s="35"/>
      <c r="D728" s="41"/>
      <c r="E728" s="35"/>
    </row>
    <row r="729" ht="15.75" customHeight="1">
      <c r="A729" s="63"/>
      <c r="B729" s="64"/>
      <c r="C729" s="35"/>
      <c r="D729" s="41"/>
      <c r="E729" s="35"/>
    </row>
    <row r="730" ht="15.75" customHeight="1">
      <c r="A730" s="63"/>
      <c r="B730" s="64"/>
      <c r="C730" s="35"/>
      <c r="D730" s="41"/>
      <c r="E730" s="35"/>
    </row>
    <row r="731" ht="15.75" customHeight="1">
      <c r="A731" s="63"/>
      <c r="B731" s="64"/>
      <c r="C731" s="35"/>
      <c r="D731" s="41"/>
      <c r="E731" s="35"/>
    </row>
    <row r="732" ht="15.75" customHeight="1">
      <c r="A732" s="63"/>
      <c r="B732" s="64"/>
      <c r="C732" s="35"/>
      <c r="D732" s="41"/>
      <c r="E732" s="35"/>
    </row>
    <row r="733" ht="15.75" customHeight="1">
      <c r="A733" s="63"/>
      <c r="B733" s="64"/>
      <c r="C733" s="35"/>
      <c r="D733" s="41"/>
      <c r="E733" s="35"/>
    </row>
    <row r="734" ht="15.75" customHeight="1">
      <c r="A734" s="63"/>
      <c r="B734" s="64"/>
      <c r="C734" s="35"/>
      <c r="D734" s="41"/>
      <c r="E734" s="35"/>
    </row>
    <row r="735" ht="15.75" customHeight="1">
      <c r="A735" s="63"/>
      <c r="B735" s="64"/>
      <c r="C735" s="35"/>
      <c r="D735" s="41"/>
      <c r="E735" s="35"/>
    </row>
    <row r="736" ht="15.75" customHeight="1">
      <c r="A736" s="63"/>
      <c r="B736" s="64"/>
      <c r="C736" s="35"/>
      <c r="D736" s="41"/>
      <c r="E736" s="35"/>
    </row>
    <row r="737" ht="15.75" customHeight="1">
      <c r="A737" s="63"/>
      <c r="B737" s="64"/>
      <c r="C737" s="35"/>
      <c r="D737" s="41"/>
      <c r="E737" s="35"/>
    </row>
    <row r="738" ht="15.75" customHeight="1">
      <c r="A738" s="63"/>
      <c r="B738" s="64"/>
      <c r="C738" s="35"/>
      <c r="D738" s="41"/>
      <c r="E738" s="35"/>
    </row>
    <row r="739" ht="15.75" customHeight="1">
      <c r="A739" s="63"/>
      <c r="B739" s="64"/>
      <c r="C739" s="35"/>
      <c r="D739" s="41"/>
      <c r="E739" s="35"/>
    </row>
    <row r="740" ht="15.75" customHeight="1">
      <c r="A740" s="63"/>
      <c r="B740" s="64"/>
      <c r="C740" s="35"/>
      <c r="D740" s="41"/>
      <c r="E740" s="35"/>
    </row>
    <row r="741" ht="15.75" customHeight="1">
      <c r="A741" s="63"/>
      <c r="B741" s="64"/>
      <c r="C741" s="35"/>
      <c r="D741" s="41"/>
      <c r="E741" s="35"/>
    </row>
    <row r="742" ht="15.75" customHeight="1">
      <c r="A742" s="63"/>
      <c r="B742" s="64"/>
      <c r="C742" s="35"/>
      <c r="D742" s="41"/>
      <c r="E742" s="35"/>
    </row>
    <row r="743" ht="15.75" customHeight="1">
      <c r="A743" s="63"/>
      <c r="B743" s="64"/>
      <c r="C743" s="35"/>
      <c r="D743" s="41"/>
      <c r="E743" s="35"/>
    </row>
    <row r="744" ht="15.75" customHeight="1">
      <c r="A744" s="63"/>
      <c r="B744" s="64"/>
      <c r="C744" s="35"/>
      <c r="D744" s="41"/>
      <c r="E744" s="35"/>
    </row>
    <row r="745" ht="15.75" customHeight="1">
      <c r="A745" s="63"/>
      <c r="B745" s="64"/>
      <c r="C745" s="35"/>
      <c r="D745" s="41"/>
      <c r="E745" s="35"/>
    </row>
    <row r="746" ht="15.75" customHeight="1">
      <c r="A746" s="63"/>
      <c r="B746" s="64"/>
      <c r="C746" s="35"/>
      <c r="D746" s="41"/>
      <c r="E746" s="35"/>
    </row>
    <row r="747" ht="15.75" customHeight="1">
      <c r="A747" s="63"/>
      <c r="B747" s="64"/>
      <c r="C747" s="35"/>
      <c r="D747" s="41"/>
      <c r="E747" s="35"/>
    </row>
    <row r="748" ht="15.75" customHeight="1">
      <c r="A748" s="63"/>
      <c r="B748" s="64"/>
      <c r="C748" s="35"/>
      <c r="D748" s="41"/>
      <c r="E748" s="35"/>
    </row>
    <row r="749" ht="15.75" customHeight="1">
      <c r="A749" s="63"/>
      <c r="B749" s="64"/>
      <c r="C749" s="35"/>
      <c r="D749" s="41"/>
      <c r="E749" s="35"/>
    </row>
    <row r="750" ht="15.75" customHeight="1">
      <c r="A750" s="63"/>
      <c r="B750" s="64"/>
      <c r="C750" s="35"/>
      <c r="D750" s="41"/>
      <c r="E750" s="35"/>
    </row>
    <row r="751" ht="15.75" customHeight="1">
      <c r="A751" s="63"/>
      <c r="B751" s="64"/>
      <c r="C751" s="35"/>
      <c r="D751" s="41"/>
      <c r="E751" s="35"/>
    </row>
    <row r="752" ht="15.75" customHeight="1">
      <c r="A752" s="63"/>
      <c r="B752" s="64"/>
      <c r="C752" s="35"/>
      <c r="D752" s="41"/>
      <c r="E752" s="35"/>
    </row>
    <row r="753" ht="15.75" customHeight="1">
      <c r="A753" s="63"/>
      <c r="B753" s="64"/>
      <c r="C753" s="35"/>
      <c r="D753" s="41"/>
      <c r="E753" s="35"/>
    </row>
    <row r="754" ht="15.75" customHeight="1">
      <c r="A754" s="63"/>
      <c r="B754" s="64"/>
      <c r="C754" s="35"/>
      <c r="D754" s="41"/>
      <c r="E754" s="35"/>
    </row>
    <row r="755" ht="15.75" customHeight="1">
      <c r="A755" s="63"/>
      <c r="B755" s="64"/>
      <c r="C755" s="35"/>
      <c r="D755" s="41"/>
      <c r="E755" s="35"/>
    </row>
    <row r="756" ht="15.75" customHeight="1">
      <c r="A756" s="63"/>
      <c r="B756" s="64"/>
      <c r="C756" s="35"/>
      <c r="D756" s="41"/>
      <c r="E756" s="35"/>
    </row>
    <row r="757" ht="15.75" customHeight="1">
      <c r="A757" s="63"/>
      <c r="B757" s="64"/>
      <c r="C757" s="35"/>
      <c r="D757" s="41"/>
      <c r="E757" s="35"/>
    </row>
    <row r="758" ht="15.75" customHeight="1">
      <c r="A758" s="63"/>
      <c r="B758" s="64"/>
      <c r="C758" s="35"/>
      <c r="D758" s="41"/>
      <c r="E758" s="35"/>
    </row>
    <row r="759" ht="15.75" customHeight="1">
      <c r="A759" s="63"/>
      <c r="B759" s="64"/>
      <c r="C759" s="35"/>
      <c r="D759" s="41"/>
      <c r="E759" s="35"/>
    </row>
    <row r="760" ht="15.75" customHeight="1">
      <c r="A760" s="63"/>
      <c r="B760" s="64"/>
      <c r="C760" s="35"/>
      <c r="D760" s="41"/>
      <c r="E760" s="35"/>
    </row>
    <row r="761" ht="15.75" customHeight="1">
      <c r="A761" s="63"/>
      <c r="B761" s="64"/>
      <c r="C761" s="35"/>
      <c r="D761" s="41"/>
      <c r="E761" s="35"/>
    </row>
    <row r="762" ht="15.75" customHeight="1">
      <c r="A762" s="63"/>
      <c r="B762" s="64"/>
      <c r="C762" s="35"/>
      <c r="D762" s="41"/>
      <c r="E762" s="35"/>
    </row>
    <row r="763" ht="15.75" customHeight="1">
      <c r="A763" s="63"/>
      <c r="B763" s="64"/>
      <c r="C763" s="35"/>
      <c r="D763" s="41"/>
      <c r="E763" s="35"/>
    </row>
    <row r="764" ht="15.75" customHeight="1">
      <c r="A764" s="63"/>
      <c r="B764" s="64"/>
      <c r="C764" s="35"/>
      <c r="D764" s="41"/>
      <c r="E764" s="35"/>
    </row>
    <row r="765" ht="15.75" customHeight="1">
      <c r="A765" s="63"/>
      <c r="B765" s="64"/>
      <c r="C765" s="35"/>
      <c r="D765" s="41"/>
      <c r="E765" s="35"/>
    </row>
    <row r="766" ht="15.75" customHeight="1">
      <c r="A766" s="63"/>
      <c r="B766" s="64"/>
      <c r="C766" s="35"/>
      <c r="D766" s="41"/>
      <c r="E766" s="35"/>
    </row>
    <row r="767" ht="15.75" customHeight="1">
      <c r="A767" s="63"/>
      <c r="B767" s="64"/>
      <c r="C767" s="35"/>
      <c r="D767" s="41"/>
      <c r="E767" s="35"/>
    </row>
    <row r="768" ht="15.75" customHeight="1">
      <c r="A768" s="63"/>
      <c r="B768" s="64"/>
      <c r="C768" s="35"/>
      <c r="D768" s="41"/>
      <c r="E768" s="35"/>
    </row>
    <row r="769" ht="15.75" customHeight="1">
      <c r="A769" s="63"/>
      <c r="B769" s="64"/>
      <c r="C769" s="35"/>
      <c r="D769" s="41"/>
      <c r="E769" s="35"/>
    </row>
    <row r="770" ht="15.75" customHeight="1">
      <c r="A770" s="63"/>
      <c r="B770" s="64"/>
      <c r="C770" s="35"/>
      <c r="D770" s="41"/>
      <c r="E770" s="35"/>
    </row>
    <row r="771" ht="15.75" customHeight="1">
      <c r="A771" s="63"/>
      <c r="B771" s="64"/>
      <c r="C771" s="35"/>
      <c r="D771" s="41"/>
      <c r="E771" s="35"/>
    </row>
    <row r="772" ht="15.75" customHeight="1">
      <c r="A772" s="63"/>
      <c r="B772" s="64"/>
      <c r="C772" s="35"/>
      <c r="D772" s="41"/>
      <c r="E772" s="35"/>
    </row>
    <row r="773" ht="15.75" customHeight="1">
      <c r="A773" s="63"/>
      <c r="B773" s="64"/>
      <c r="C773" s="35"/>
      <c r="D773" s="41"/>
      <c r="E773" s="35"/>
    </row>
    <row r="774" ht="15.75" customHeight="1">
      <c r="A774" s="63"/>
      <c r="B774" s="64"/>
      <c r="C774" s="35"/>
      <c r="D774" s="41"/>
      <c r="E774" s="35"/>
    </row>
    <row r="775" ht="15.75" customHeight="1">
      <c r="A775" s="63"/>
      <c r="B775" s="64"/>
      <c r="C775" s="35"/>
      <c r="D775" s="41"/>
      <c r="E775" s="35"/>
    </row>
    <row r="776" ht="15.75" customHeight="1">
      <c r="A776" s="63"/>
      <c r="B776" s="64"/>
      <c r="C776" s="35"/>
      <c r="D776" s="41"/>
      <c r="E776" s="35"/>
    </row>
    <row r="777" ht="15.75" customHeight="1">
      <c r="A777" s="63"/>
      <c r="B777" s="64"/>
      <c r="C777" s="35"/>
      <c r="D777" s="41"/>
      <c r="E777" s="35"/>
    </row>
    <row r="778" ht="15.75" customHeight="1">
      <c r="A778" s="63"/>
      <c r="B778" s="64"/>
      <c r="C778" s="35"/>
      <c r="D778" s="41"/>
      <c r="E778" s="35"/>
    </row>
    <row r="779" ht="15.75" customHeight="1">
      <c r="A779" s="63"/>
      <c r="B779" s="64"/>
      <c r="C779" s="35"/>
      <c r="D779" s="41"/>
      <c r="E779" s="35"/>
    </row>
    <row r="780" ht="15.75" customHeight="1">
      <c r="A780" s="63"/>
      <c r="B780" s="64"/>
      <c r="C780" s="35"/>
      <c r="D780" s="41"/>
      <c r="E780" s="35"/>
    </row>
    <row r="781" ht="15.75" customHeight="1">
      <c r="A781" s="63"/>
      <c r="B781" s="64"/>
      <c r="C781" s="35"/>
      <c r="D781" s="41"/>
      <c r="E781" s="35"/>
    </row>
    <row r="782" ht="15.75" customHeight="1">
      <c r="A782" s="63"/>
      <c r="B782" s="64"/>
      <c r="C782" s="35"/>
      <c r="D782" s="41"/>
      <c r="E782" s="35"/>
    </row>
    <row r="783" ht="15.75" customHeight="1">
      <c r="A783" s="63"/>
      <c r="B783" s="64"/>
      <c r="C783" s="35"/>
      <c r="D783" s="41"/>
      <c r="E783" s="35"/>
    </row>
    <row r="784" ht="15.75" customHeight="1">
      <c r="A784" s="63"/>
      <c r="B784" s="64"/>
      <c r="C784" s="35"/>
      <c r="D784" s="41"/>
      <c r="E784" s="35"/>
    </row>
    <row r="785" ht="15.75" customHeight="1">
      <c r="A785" s="63"/>
      <c r="B785" s="64"/>
      <c r="C785" s="35"/>
      <c r="D785" s="41"/>
      <c r="E785" s="35"/>
    </row>
    <row r="786" ht="15.75" customHeight="1">
      <c r="A786" s="63"/>
      <c r="B786" s="64"/>
      <c r="C786" s="35"/>
      <c r="D786" s="41"/>
      <c r="E786" s="35"/>
    </row>
    <row r="787" ht="15.75" customHeight="1">
      <c r="A787" s="63"/>
      <c r="B787" s="64"/>
      <c r="C787" s="35"/>
      <c r="D787" s="41"/>
      <c r="E787" s="35"/>
    </row>
    <row r="788" ht="15.75" customHeight="1">
      <c r="A788" s="63"/>
      <c r="B788" s="64"/>
      <c r="C788" s="35"/>
      <c r="D788" s="41"/>
      <c r="E788" s="35"/>
    </row>
    <row r="789" ht="15.75" customHeight="1">
      <c r="A789" s="63"/>
      <c r="B789" s="64"/>
      <c r="C789" s="35"/>
      <c r="D789" s="41"/>
      <c r="E789" s="35"/>
    </row>
    <row r="790" ht="15.75" customHeight="1">
      <c r="A790" s="63"/>
      <c r="B790" s="64"/>
      <c r="C790" s="35"/>
      <c r="D790" s="41"/>
      <c r="E790" s="35"/>
    </row>
    <row r="791" ht="15.75" customHeight="1">
      <c r="A791" s="63"/>
      <c r="B791" s="64"/>
      <c r="C791" s="35"/>
      <c r="D791" s="41"/>
      <c r="E791" s="35"/>
    </row>
    <row r="792" ht="15.75" customHeight="1">
      <c r="A792" s="63"/>
      <c r="B792" s="64"/>
      <c r="C792" s="35"/>
      <c r="D792" s="41"/>
      <c r="E792" s="35"/>
    </row>
    <row r="793" ht="15.75" customHeight="1">
      <c r="A793" s="63"/>
      <c r="B793" s="64"/>
      <c r="C793" s="35"/>
      <c r="D793" s="41"/>
      <c r="E793" s="35"/>
    </row>
    <row r="794" ht="15.75" customHeight="1">
      <c r="A794" s="63"/>
      <c r="B794" s="64"/>
      <c r="C794" s="35"/>
      <c r="D794" s="41"/>
      <c r="E794" s="35"/>
    </row>
    <row r="795" ht="15.75" customHeight="1">
      <c r="A795" s="63"/>
      <c r="B795" s="64"/>
      <c r="C795" s="35"/>
      <c r="D795" s="41"/>
      <c r="E795" s="35"/>
    </row>
    <row r="796" ht="15.75" customHeight="1">
      <c r="A796" s="63"/>
      <c r="B796" s="64"/>
      <c r="C796" s="35"/>
      <c r="D796" s="41"/>
      <c r="E796" s="35"/>
    </row>
    <row r="797" ht="15.75" customHeight="1">
      <c r="A797" s="63"/>
      <c r="B797" s="64"/>
      <c r="C797" s="35"/>
      <c r="D797" s="41"/>
      <c r="E797" s="35"/>
    </row>
    <row r="798" ht="15.75" customHeight="1">
      <c r="A798" s="63"/>
      <c r="B798" s="64"/>
      <c r="C798" s="35"/>
      <c r="D798" s="41"/>
      <c r="E798" s="35"/>
    </row>
    <row r="799" ht="15.75" customHeight="1">
      <c r="A799" s="63"/>
      <c r="B799" s="64"/>
      <c r="C799" s="35"/>
      <c r="D799" s="41"/>
      <c r="E799" s="35"/>
    </row>
    <row r="800" ht="15.75" customHeight="1">
      <c r="A800" s="63"/>
      <c r="B800" s="64"/>
      <c r="C800" s="35"/>
      <c r="D800" s="41"/>
      <c r="E800" s="35"/>
    </row>
    <row r="801" ht="15.75" customHeight="1">
      <c r="A801" s="63"/>
      <c r="B801" s="64"/>
      <c r="C801" s="35"/>
      <c r="D801" s="41"/>
      <c r="E801" s="35"/>
    </row>
    <row r="802" ht="15.75" customHeight="1">
      <c r="A802" s="63"/>
      <c r="B802" s="64"/>
      <c r="C802" s="35"/>
      <c r="D802" s="41"/>
      <c r="E802" s="35"/>
    </row>
    <row r="803" ht="15.75" customHeight="1">
      <c r="A803" s="63"/>
      <c r="B803" s="64"/>
      <c r="C803" s="35"/>
      <c r="D803" s="41"/>
      <c r="E803" s="35"/>
    </row>
    <row r="804" ht="15.75" customHeight="1">
      <c r="A804" s="63"/>
      <c r="B804" s="64"/>
      <c r="C804" s="35"/>
      <c r="D804" s="41"/>
      <c r="E804" s="35"/>
    </row>
    <row r="805" ht="15.75" customHeight="1">
      <c r="A805" s="63"/>
      <c r="B805" s="64"/>
      <c r="C805" s="35"/>
      <c r="D805" s="41"/>
      <c r="E805" s="35"/>
    </row>
    <row r="806" ht="15.75" customHeight="1">
      <c r="A806" s="63"/>
      <c r="B806" s="64"/>
      <c r="C806" s="35"/>
      <c r="D806" s="41"/>
      <c r="E806" s="35"/>
    </row>
    <row r="807" ht="15.75" customHeight="1">
      <c r="A807" s="63"/>
      <c r="B807" s="64"/>
      <c r="C807" s="35"/>
      <c r="D807" s="41"/>
      <c r="E807" s="35"/>
    </row>
    <row r="808" ht="15.75" customHeight="1">
      <c r="A808" s="63"/>
      <c r="B808" s="64"/>
      <c r="C808" s="35"/>
      <c r="D808" s="41"/>
      <c r="E808" s="35"/>
    </row>
    <row r="809" ht="15.75" customHeight="1">
      <c r="A809" s="63"/>
      <c r="B809" s="64"/>
      <c r="C809" s="35"/>
      <c r="D809" s="41"/>
      <c r="E809" s="35"/>
    </row>
    <row r="810" ht="15.75" customHeight="1">
      <c r="A810" s="63"/>
      <c r="B810" s="64"/>
      <c r="C810" s="35"/>
      <c r="D810" s="41"/>
      <c r="E810" s="35"/>
    </row>
    <row r="811" ht="15.75" customHeight="1">
      <c r="A811" s="63"/>
      <c r="B811" s="64"/>
      <c r="C811" s="35"/>
      <c r="D811" s="41"/>
      <c r="E811" s="35"/>
    </row>
    <row r="812" ht="15.75" customHeight="1">
      <c r="A812" s="63"/>
      <c r="B812" s="64"/>
      <c r="C812" s="35"/>
      <c r="D812" s="41"/>
      <c r="E812" s="35"/>
    </row>
    <row r="813" ht="15.75" customHeight="1">
      <c r="A813" s="63"/>
      <c r="B813" s="64"/>
      <c r="C813" s="35"/>
      <c r="D813" s="41"/>
      <c r="E813" s="35"/>
    </row>
    <row r="814" ht="15.75" customHeight="1">
      <c r="A814" s="63"/>
      <c r="B814" s="64"/>
      <c r="C814" s="35"/>
      <c r="D814" s="41"/>
      <c r="E814" s="35"/>
    </row>
    <row r="815" ht="15.75" customHeight="1">
      <c r="A815" s="63"/>
      <c r="B815" s="64"/>
      <c r="C815" s="35"/>
      <c r="D815" s="41"/>
      <c r="E815" s="35"/>
    </row>
    <row r="816" ht="15.75" customHeight="1">
      <c r="A816" s="63"/>
      <c r="B816" s="64"/>
      <c r="C816" s="35"/>
      <c r="D816" s="41"/>
      <c r="E816" s="35"/>
    </row>
    <row r="817" ht="15.75" customHeight="1">
      <c r="A817" s="63"/>
      <c r="B817" s="64"/>
      <c r="C817" s="35"/>
      <c r="D817" s="41"/>
      <c r="E817" s="35"/>
    </row>
    <row r="818" ht="15.75" customHeight="1">
      <c r="A818" s="63"/>
      <c r="B818" s="64"/>
      <c r="C818" s="35"/>
      <c r="D818" s="41"/>
      <c r="E818" s="35"/>
    </row>
    <row r="819" ht="15.75" customHeight="1">
      <c r="A819" s="63"/>
      <c r="B819" s="64"/>
      <c r="C819" s="35"/>
      <c r="D819" s="41"/>
      <c r="E819" s="35"/>
    </row>
    <row r="820" ht="15.75" customHeight="1">
      <c r="A820" s="63"/>
      <c r="B820" s="64"/>
      <c r="C820" s="35"/>
      <c r="D820" s="41"/>
      <c r="E820" s="35"/>
    </row>
    <row r="821" ht="15.75" customHeight="1">
      <c r="A821" s="63"/>
      <c r="B821" s="64"/>
      <c r="C821" s="35"/>
      <c r="D821" s="41"/>
      <c r="E821" s="35"/>
    </row>
    <row r="822" ht="15.75" customHeight="1">
      <c r="A822" s="63"/>
      <c r="B822" s="64"/>
      <c r="C822" s="35"/>
      <c r="D822" s="41"/>
      <c r="E822" s="35"/>
    </row>
    <row r="823" ht="15.75" customHeight="1">
      <c r="A823" s="63"/>
      <c r="B823" s="64"/>
      <c r="C823" s="35"/>
      <c r="D823" s="41"/>
      <c r="E823" s="35"/>
    </row>
    <row r="824" ht="15.75" customHeight="1">
      <c r="A824" s="63"/>
      <c r="B824" s="64"/>
      <c r="C824" s="35"/>
      <c r="D824" s="41"/>
      <c r="E824" s="35"/>
    </row>
    <row r="825" ht="15.75" customHeight="1">
      <c r="A825" s="63"/>
      <c r="B825" s="64"/>
      <c r="C825" s="35"/>
      <c r="D825" s="41"/>
      <c r="E825" s="35"/>
    </row>
    <row r="826" ht="15.75" customHeight="1">
      <c r="A826" s="63"/>
      <c r="B826" s="64"/>
      <c r="C826" s="35"/>
      <c r="D826" s="41"/>
      <c r="E826" s="35"/>
    </row>
    <row r="827" ht="15.75" customHeight="1">
      <c r="A827" s="63"/>
      <c r="B827" s="64"/>
      <c r="C827" s="35"/>
      <c r="D827" s="41"/>
      <c r="E827" s="35"/>
    </row>
    <row r="828" ht="15.75" customHeight="1">
      <c r="A828" s="63"/>
      <c r="B828" s="64"/>
      <c r="C828" s="35"/>
      <c r="D828" s="41"/>
      <c r="E828" s="35"/>
    </row>
    <row r="829" ht="15.75" customHeight="1">
      <c r="A829" s="63"/>
      <c r="B829" s="64"/>
      <c r="C829" s="35"/>
      <c r="D829" s="41"/>
      <c r="E829" s="35"/>
    </row>
    <row r="830" ht="15.75" customHeight="1">
      <c r="A830" s="63"/>
      <c r="B830" s="64"/>
      <c r="C830" s="35"/>
      <c r="D830" s="41"/>
      <c r="E830" s="35"/>
    </row>
    <row r="831" ht="15.75" customHeight="1">
      <c r="A831" s="63"/>
      <c r="B831" s="64"/>
      <c r="C831" s="35"/>
      <c r="D831" s="41"/>
      <c r="E831" s="35"/>
    </row>
    <row r="832" ht="15.75" customHeight="1">
      <c r="A832" s="63"/>
      <c r="B832" s="64"/>
      <c r="C832" s="35"/>
      <c r="D832" s="41"/>
      <c r="E832" s="35"/>
    </row>
    <row r="833" ht="15.75" customHeight="1">
      <c r="A833" s="63"/>
      <c r="B833" s="64"/>
      <c r="C833" s="35"/>
      <c r="D833" s="41"/>
      <c r="E833" s="35"/>
    </row>
    <row r="834" ht="15.75" customHeight="1">
      <c r="A834" s="63"/>
      <c r="B834" s="64"/>
      <c r="C834" s="35"/>
      <c r="D834" s="41"/>
      <c r="E834" s="35"/>
    </row>
    <row r="835" ht="15.75" customHeight="1">
      <c r="A835" s="63"/>
      <c r="B835" s="64"/>
      <c r="C835" s="35"/>
      <c r="D835" s="41"/>
      <c r="E835" s="35"/>
    </row>
    <row r="836" ht="15.75" customHeight="1">
      <c r="A836" s="63"/>
      <c r="B836" s="64"/>
      <c r="C836" s="35"/>
      <c r="D836" s="41"/>
      <c r="E836" s="35"/>
    </row>
    <row r="837" ht="15.75" customHeight="1">
      <c r="A837" s="63"/>
      <c r="B837" s="64"/>
      <c r="C837" s="35"/>
      <c r="D837" s="41"/>
      <c r="E837" s="35"/>
    </row>
    <row r="838" ht="15.75" customHeight="1">
      <c r="A838" s="63"/>
      <c r="B838" s="64"/>
      <c r="C838" s="35"/>
      <c r="D838" s="41"/>
      <c r="E838" s="35"/>
    </row>
    <row r="839" ht="15.75" customHeight="1">
      <c r="A839" s="63"/>
      <c r="B839" s="64"/>
      <c r="C839" s="35"/>
      <c r="D839" s="41"/>
      <c r="E839" s="35"/>
    </row>
    <row r="840" ht="15.75" customHeight="1">
      <c r="A840" s="63"/>
      <c r="B840" s="64"/>
      <c r="C840" s="35"/>
      <c r="D840" s="41"/>
      <c r="E840" s="35"/>
    </row>
    <row r="841" ht="15.75" customHeight="1">
      <c r="A841" s="63"/>
      <c r="B841" s="64"/>
      <c r="C841" s="35"/>
      <c r="D841" s="41"/>
      <c r="E841" s="35"/>
    </row>
    <row r="842" ht="15.75" customHeight="1">
      <c r="A842" s="63"/>
      <c r="B842" s="64"/>
      <c r="C842" s="35"/>
      <c r="D842" s="41"/>
      <c r="E842" s="35"/>
    </row>
    <row r="843" ht="15.75" customHeight="1">
      <c r="A843" s="63"/>
      <c r="B843" s="64"/>
      <c r="C843" s="35"/>
      <c r="D843" s="41"/>
      <c r="E843" s="35"/>
    </row>
    <row r="844" ht="15.75" customHeight="1">
      <c r="A844" s="63"/>
      <c r="B844" s="64"/>
      <c r="C844" s="35"/>
      <c r="D844" s="41"/>
      <c r="E844" s="35"/>
    </row>
    <row r="845" ht="15.75" customHeight="1">
      <c r="A845" s="63"/>
      <c r="B845" s="64"/>
      <c r="C845" s="35"/>
      <c r="D845" s="41"/>
      <c r="E845" s="35"/>
    </row>
    <row r="846" ht="15.75" customHeight="1">
      <c r="A846" s="63"/>
      <c r="B846" s="64"/>
      <c r="C846" s="35"/>
      <c r="D846" s="41"/>
      <c r="E846" s="35"/>
    </row>
    <row r="847" ht="15.75" customHeight="1">
      <c r="A847" s="63"/>
      <c r="B847" s="64"/>
      <c r="C847" s="35"/>
      <c r="D847" s="41"/>
      <c r="E847" s="35"/>
    </row>
    <row r="848" ht="15.75" customHeight="1">
      <c r="A848" s="63"/>
      <c r="B848" s="64"/>
      <c r="C848" s="35"/>
      <c r="D848" s="41"/>
      <c r="E848" s="35"/>
    </row>
    <row r="849" ht="15.75" customHeight="1">
      <c r="A849" s="63"/>
      <c r="B849" s="64"/>
      <c r="C849" s="35"/>
      <c r="D849" s="41"/>
      <c r="E849" s="35"/>
    </row>
    <row r="850" ht="15.75" customHeight="1">
      <c r="A850" s="63"/>
      <c r="B850" s="64"/>
      <c r="C850" s="35"/>
      <c r="D850" s="41"/>
      <c r="E850" s="35"/>
    </row>
    <row r="851" ht="15.75" customHeight="1">
      <c r="A851" s="63"/>
      <c r="B851" s="64"/>
      <c r="C851" s="35"/>
      <c r="D851" s="41"/>
      <c r="E851" s="35"/>
    </row>
    <row r="852" ht="15.75" customHeight="1">
      <c r="A852" s="63"/>
      <c r="B852" s="64"/>
      <c r="C852" s="35"/>
      <c r="D852" s="41"/>
      <c r="E852" s="35"/>
    </row>
    <row r="853" ht="15.75" customHeight="1">
      <c r="A853" s="63"/>
      <c r="B853" s="64"/>
      <c r="C853" s="35"/>
      <c r="D853" s="41"/>
      <c r="E853" s="35"/>
    </row>
    <row r="854" ht="15.75" customHeight="1">
      <c r="A854" s="63"/>
      <c r="B854" s="64"/>
      <c r="C854" s="35"/>
      <c r="D854" s="41"/>
      <c r="E854" s="35"/>
    </row>
    <row r="855" ht="15.75" customHeight="1">
      <c r="A855" s="63"/>
      <c r="B855" s="64"/>
      <c r="C855" s="35"/>
      <c r="D855" s="41"/>
      <c r="E855" s="35"/>
    </row>
    <row r="856" ht="15.75" customHeight="1">
      <c r="A856" s="63"/>
      <c r="B856" s="64"/>
      <c r="C856" s="35"/>
      <c r="D856" s="41"/>
      <c r="E856" s="35"/>
    </row>
    <row r="857" ht="15.75" customHeight="1">
      <c r="A857" s="63"/>
      <c r="B857" s="64"/>
      <c r="C857" s="35"/>
      <c r="D857" s="41"/>
      <c r="E857" s="35"/>
    </row>
    <row r="858" ht="15.75" customHeight="1">
      <c r="A858" s="63"/>
      <c r="B858" s="64"/>
      <c r="C858" s="35"/>
      <c r="D858" s="41"/>
      <c r="E858" s="35"/>
    </row>
    <row r="859" ht="15.75" customHeight="1">
      <c r="A859" s="63"/>
      <c r="B859" s="64"/>
      <c r="C859" s="35"/>
      <c r="D859" s="41"/>
      <c r="E859" s="35"/>
    </row>
    <row r="860" ht="15.75" customHeight="1">
      <c r="A860" s="63"/>
      <c r="B860" s="64"/>
      <c r="C860" s="35"/>
      <c r="D860" s="41"/>
      <c r="E860" s="35"/>
    </row>
    <row r="861" ht="15.75" customHeight="1">
      <c r="A861" s="63"/>
      <c r="B861" s="64"/>
      <c r="C861" s="35"/>
      <c r="D861" s="41"/>
      <c r="E861" s="35"/>
    </row>
    <row r="862" ht="15.75" customHeight="1">
      <c r="A862" s="63"/>
      <c r="B862" s="64"/>
      <c r="C862" s="35"/>
      <c r="D862" s="41"/>
      <c r="E862" s="35"/>
    </row>
    <row r="863" ht="15.75" customHeight="1">
      <c r="A863" s="63"/>
      <c r="B863" s="64"/>
      <c r="C863" s="35"/>
      <c r="D863" s="41"/>
      <c r="E863" s="35"/>
    </row>
    <row r="864" ht="15.75" customHeight="1">
      <c r="A864" s="63"/>
      <c r="B864" s="64"/>
      <c r="C864" s="35"/>
      <c r="D864" s="41"/>
      <c r="E864" s="35"/>
    </row>
    <row r="865" ht="15.75" customHeight="1">
      <c r="A865" s="63"/>
      <c r="B865" s="64"/>
      <c r="C865" s="35"/>
      <c r="D865" s="41"/>
      <c r="E865" s="35"/>
    </row>
    <row r="866" ht="15.75" customHeight="1">
      <c r="A866" s="63"/>
      <c r="B866" s="64"/>
      <c r="C866" s="35"/>
      <c r="D866" s="41"/>
      <c r="E866" s="35"/>
    </row>
    <row r="867" ht="15.75" customHeight="1">
      <c r="A867" s="63"/>
      <c r="B867" s="64"/>
      <c r="C867" s="35"/>
      <c r="D867" s="41"/>
      <c r="E867" s="35"/>
    </row>
    <row r="868" ht="15.75" customHeight="1">
      <c r="A868" s="63"/>
      <c r="B868" s="64"/>
      <c r="C868" s="35"/>
      <c r="D868" s="41"/>
      <c r="E868" s="35"/>
    </row>
    <row r="869" ht="15.75" customHeight="1">
      <c r="A869" s="63"/>
      <c r="B869" s="64"/>
      <c r="C869" s="35"/>
      <c r="D869" s="41"/>
      <c r="E869" s="35"/>
    </row>
    <row r="870" ht="15.75" customHeight="1">
      <c r="A870" s="63"/>
      <c r="B870" s="64"/>
      <c r="C870" s="35"/>
      <c r="D870" s="41"/>
      <c r="E870" s="35"/>
    </row>
    <row r="871" ht="15.75" customHeight="1">
      <c r="A871" s="63"/>
      <c r="B871" s="64"/>
      <c r="C871" s="35"/>
      <c r="D871" s="41"/>
      <c r="E871" s="35"/>
    </row>
    <row r="872" ht="15.75" customHeight="1">
      <c r="A872" s="63"/>
      <c r="B872" s="64"/>
      <c r="C872" s="35"/>
      <c r="D872" s="41"/>
      <c r="E872" s="35"/>
    </row>
    <row r="873" ht="15.75" customHeight="1">
      <c r="A873" s="63"/>
      <c r="B873" s="64"/>
      <c r="C873" s="35"/>
      <c r="D873" s="41"/>
      <c r="E873" s="35"/>
    </row>
    <row r="874" ht="15.75" customHeight="1">
      <c r="A874" s="63"/>
      <c r="B874" s="64"/>
      <c r="C874" s="35"/>
      <c r="D874" s="41"/>
      <c r="E874" s="35"/>
    </row>
    <row r="875" ht="15.75" customHeight="1">
      <c r="A875" s="63"/>
      <c r="B875" s="64"/>
      <c r="C875" s="35"/>
      <c r="D875" s="41"/>
      <c r="E875" s="35"/>
    </row>
    <row r="876" ht="15.75" customHeight="1">
      <c r="A876" s="63"/>
      <c r="B876" s="64"/>
      <c r="C876" s="35"/>
      <c r="D876" s="41"/>
      <c r="E876" s="35"/>
    </row>
    <row r="877" ht="15.75" customHeight="1">
      <c r="A877" s="63"/>
      <c r="B877" s="64"/>
      <c r="C877" s="35"/>
      <c r="D877" s="41"/>
      <c r="E877" s="35"/>
    </row>
    <row r="878" ht="15.75" customHeight="1">
      <c r="A878" s="63"/>
      <c r="B878" s="64"/>
      <c r="C878" s="35"/>
      <c r="D878" s="41"/>
      <c r="E878" s="35"/>
    </row>
    <row r="879" ht="15.75" customHeight="1">
      <c r="A879" s="63"/>
      <c r="B879" s="64"/>
      <c r="C879" s="35"/>
      <c r="D879" s="41"/>
      <c r="E879" s="35"/>
    </row>
    <row r="880" ht="15.75" customHeight="1">
      <c r="A880" s="63"/>
      <c r="B880" s="64"/>
      <c r="C880" s="35"/>
      <c r="D880" s="41"/>
      <c r="E880" s="35"/>
    </row>
    <row r="881" ht="15.75" customHeight="1">
      <c r="A881" s="63"/>
      <c r="B881" s="64"/>
      <c r="C881" s="35"/>
      <c r="D881" s="41"/>
      <c r="E881" s="35"/>
    </row>
    <row r="882" ht="15.75" customHeight="1">
      <c r="A882" s="63"/>
      <c r="B882" s="64"/>
      <c r="C882" s="35"/>
      <c r="D882" s="41"/>
      <c r="E882" s="35"/>
    </row>
    <row r="883" ht="15.75" customHeight="1">
      <c r="A883" s="63"/>
      <c r="B883" s="64"/>
      <c r="C883" s="35"/>
      <c r="D883" s="41"/>
      <c r="E883" s="35"/>
    </row>
    <row r="884" ht="15.75" customHeight="1">
      <c r="A884" s="63"/>
      <c r="B884" s="64"/>
      <c r="C884" s="35"/>
      <c r="D884" s="41"/>
      <c r="E884" s="35"/>
    </row>
    <row r="885" ht="15.75" customHeight="1">
      <c r="A885" s="63"/>
      <c r="B885" s="64"/>
      <c r="C885" s="35"/>
      <c r="D885" s="41"/>
      <c r="E885" s="35"/>
    </row>
    <row r="886" ht="15.75" customHeight="1">
      <c r="A886" s="63"/>
      <c r="B886" s="64"/>
      <c r="C886" s="35"/>
      <c r="D886" s="41"/>
      <c r="E886" s="35"/>
    </row>
    <row r="887" ht="15.75" customHeight="1">
      <c r="A887" s="63"/>
      <c r="B887" s="64"/>
      <c r="C887" s="35"/>
      <c r="D887" s="41"/>
      <c r="E887" s="35"/>
    </row>
    <row r="888" ht="15.75" customHeight="1">
      <c r="A888" s="63"/>
      <c r="B888" s="64"/>
      <c r="C888" s="35"/>
      <c r="D888" s="41"/>
      <c r="E888" s="35"/>
    </row>
    <row r="889" ht="15.75" customHeight="1">
      <c r="A889" s="63"/>
      <c r="B889" s="64"/>
      <c r="C889" s="35"/>
      <c r="D889" s="41"/>
      <c r="E889" s="35"/>
    </row>
    <row r="890" ht="15.75" customHeight="1">
      <c r="A890" s="63"/>
      <c r="B890" s="64"/>
      <c r="C890" s="35"/>
      <c r="D890" s="41"/>
      <c r="E890" s="35"/>
    </row>
    <row r="891" ht="15.75" customHeight="1">
      <c r="A891" s="63"/>
      <c r="B891" s="64"/>
      <c r="C891" s="35"/>
      <c r="D891" s="41"/>
      <c r="E891" s="35"/>
    </row>
    <row r="892" ht="15.75" customHeight="1">
      <c r="A892" s="63"/>
      <c r="B892" s="64"/>
      <c r="C892" s="35"/>
      <c r="D892" s="41"/>
      <c r="E892" s="35"/>
    </row>
    <row r="893" ht="15.75" customHeight="1">
      <c r="A893" s="63"/>
      <c r="B893" s="64"/>
      <c r="C893" s="35"/>
      <c r="D893" s="41"/>
      <c r="E893" s="35"/>
    </row>
    <row r="894" ht="15.75" customHeight="1">
      <c r="A894" s="63"/>
      <c r="B894" s="64"/>
      <c r="C894" s="35"/>
      <c r="D894" s="41"/>
      <c r="E894" s="35"/>
    </row>
    <row r="895" ht="15.75" customHeight="1">
      <c r="A895" s="63"/>
      <c r="B895" s="64"/>
      <c r="C895" s="35"/>
      <c r="D895" s="41"/>
      <c r="E895" s="35"/>
    </row>
    <row r="896" ht="15.75" customHeight="1">
      <c r="A896" s="63"/>
      <c r="B896" s="64"/>
      <c r="C896" s="35"/>
      <c r="D896" s="41"/>
      <c r="E896" s="35"/>
    </row>
    <row r="897" ht="15.75" customHeight="1">
      <c r="A897" s="63"/>
      <c r="B897" s="64"/>
      <c r="C897" s="35"/>
      <c r="D897" s="41"/>
      <c r="E897" s="35"/>
    </row>
    <row r="898" ht="15.75" customHeight="1">
      <c r="A898" s="63"/>
      <c r="B898" s="64"/>
      <c r="C898" s="35"/>
      <c r="D898" s="41"/>
      <c r="E898" s="35"/>
    </row>
    <row r="899" ht="15.75" customHeight="1">
      <c r="A899" s="63"/>
      <c r="B899" s="64"/>
      <c r="C899" s="35"/>
      <c r="D899" s="41"/>
      <c r="E899" s="35"/>
    </row>
    <row r="900" ht="15.75" customHeight="1">
      <c r="A900" s="63"/>
      <c r="B900" s="64"/>
      <c r="C900" s="35"/>
      <c r="D900" s="41"/>
      <c r="E900" s="35"/>
    </row>
    <row r="901" ht="15.75" customHeight="1">
      <c r="A901" s="63"/>
      <c r="B901" s="64"/>
      <c r="C901" s="35"/>
      <c r="D901" s="41"/>
      <c r="E901" s="35"/>
    </row>
    <row r="902" ht="15.75" customHeight="1">
      <c r="A902" s="63"/>
      <c r="B902" s="64"/>
      <c r="C902" s="35"/>
      <c r="D902" s="41"/>
      <c r="E902" s="35"/>
    </row>
    <row r="903" ht="15.75" customHeight="1">
      <c r="A903" s="63"/>
      <c r="B903" s="64"/>
      <c r="C903" s="35"/>
      <c r="D903" s="41"/>
      <c r="E903" s="35"/>
    </row>
    <row r="904" ht="15.75" customHeight="1">
      <c r="A904" s="63"/>
      <c r="B904" s="64"/>
      <c r="C904" s="35"/>
      <c r="D904" s="41"/>
      <c r="E904" s="35"/>
    </row>
    <row r="905" ht="15.75" customHeight="1">
      <c r="A905" s="63"/>
      <c r="B905" s="64"/>
      <c r="C905" s="35"/>
      <c r="D905" s="41"/>
      <c r="E905" s="35"/>
    </row>
    <row r="906" ht="15.75" customHeight="1">
      <c r="A906" s="63"/>
      <c r="B906" s="64"/>
      <c r="C906" s="35"/>
      <c r="D906" s="41"/>
      <c r="E906" s="35"/>
    </row>
    <row r="907" ht="15.75" customHeight="1">
      <c r="A907" s="63"/>
      <c r="B907" s="64"/>
      <c r="C907" s="35"/>
      <c r="D907" s="41"/>
      <c r="E907" s="35"/>
    </row>
    <row r="908" ht="15.75" customHeight="1">
      <c r="A908" s="63"/>
      <c r="B908" s="64"/>
      <c r="C908" s="35"/>
      <c r="D908" s="41"/>
      <c r="E908" s="35"/>
    </row>
    <row r="909" ht="15.75" customHeight="1">
      <c r="A909" s="63"/>
      <c r="B909" s="64"/>
      <c r="C909" s="35"/>
      <c r="D909" s="41"/>
      <c r="E909" s="35"/>
    </row>
    <row r="910" ht="15.75" customHeight="1">
      <c r="A910" s="63"/>
      <c r="B910" s="64"/>
      <c r="C910" s="35"/>
      <c r="D910" s="41"/>
      <c r="E910" s="35"/>
    </row>
    <row r="911" ht="15.75" customHeight="1">
      <c r="A911" s="63"/>
      <c r="B911" s="64"/>
      <c r="C911" s="35"/>
      <c r="D911" s="41"/>
      <c r="E911" s="35"/>
    </row>
    <row r="912" ht="15.75" customHeight="1">
      <c r="A912" s="63"/>
      <c r="B912" s="64"/>
      <c r="C912" s="35"/>
      <c r="D912" s="41"/>
      <c r="E912" s="35"/>
    </row>
    <row r="913" ht="15.75" customHeight="1">
      <c r="A913" s="63"/>
      <c r="B913" s="64"/>
      <c r="C913" s="35"/>
      <c r="D913" s="41"/>
      <c r="E913" s="35"/>
    </row>
    <row r="914" ht="15.75" customHeight="1">
      <c r="A914" s="63"/>
      <c r="B914" s="64"/>
      <c r="C914" s="35"/>
      <c r="D914" s="41"/>
      <c r="E914" s="35"/>
    </row>
    <row r="915" ht="15.75" customHeight="1">
      <c r="A915" s="63"/>
      <c r="B915" s="64"/>
      <c r="C915" s="35"/>
      <c r="D915" s="41"/>
      <c r="E915" s="35"/>
    </row>
    <row r="916" ht="15.75" customHeight="1">
      <c r="A916" s="63"/>
      <c r="B916" s="64"/>
      <c r="C916" s="35"/>
      <c r="D916" s="41"/>
      <c r="E916" s="35"/>
    </row>
    <row r="917" ht="15.75" customHeight="1">
      <c r="A917" s="63"/>
      <c r="B917" s="64"/>
      <c r="C917" s="35"/>
      <c r="D917" s="41"/>
      <c r="E917" s="35"/>
    </row>
    <row r="918" ht="15.75" customHeight="1">
      <c r="A918" s="63"/>
      <c r="B918" s="64"/>
      <c r="C918" s="35"/>
      <c r="D918" s="41"/>
      <c r="E918" s="35"/>
    </row>
    <row r="919" ht="15.75" customHeight="1">
      <c r="A919" s="63"/>
      <c r="B919" s="64"/>
      <c r="C919" s="35"/>
      <c r="D919" s="41"/>
      <c r="E919" s="35"/>
    </row>
    <row r="920" ht="15.75" customHeight="1">
      <c r="A920" s="63"/>
      <c r="B920" s="64"/>
      <c r="C920" s="35"/>
      <c r="D920" s="41"/>
      <c r="E920" s="35"/>
    </row>
    <row r="921" ht="15.75" customHeight="1">
      <c r="A921" s="63"/>
      <c r="B921" s="64"/>
      <c r="C921" s="35"/>
      <c r="D921" s="41"/>
      <c r="E921" s="35"/>
    </row>
    <row r="922" ht="15.75" customHeight="1">
      <c r="A922" s="63"/>
      <c r="B922" s="64"/>
      <c r="C922" s="35"/>
      <c r="D922" s="41"/>
      <c r="E922" s="35"/>
    </row>
    <row r="923" ht="15.75" customHeight="1">
      <c r="A923" s="63"/>
      <c r="B923" s="64"/>
      <c r="C923" s="35"/>
      <c r="D923" s="41"/>
      <c r="E923" s="35"/>
    </row>
    <row r="924" ht="15.75" customHeight="1">
      <c r="A924" s="63"/>
      <c r="B924" s="64"/>
      <c r="C924" s="35"/>
      <c r="D924" s="41"/>
      <c r="E924" s="35"/>
    </row>
    <row r="925" ht="15.75" customHeight="1">
      <c r="A925" s="63"/>
      <c r="B925" s="64"/>
      <c r="C925" s="35"/>
      <c r="D925" s="41"/>
      <c r="E925" s="35"/>
    </row>
    <row r="926" ht="15.75" customHeight="1">
      <c r="A926" s="63"/>
      <c r="B926" s="64"/>
      <c r="C926" s="35"/>
      <c r="D926" s="41"/>
      <c r="E926" s="35"/>
    </row>
    <row r="927" ht="15.75" customHeight="1">
      <c r="A927" s="63"/>
      <c r="B927" s="64"/>
      <c r="C927" s="35"/>
      <c r="D927" s="41"/>
      <c r="E927" s="35"/>
    </row>
    <row r="928" ht="15.75" customHeight="1">
      <c r="A928" s="63"/>
      <c r="B928" s="64"/>
      <c r="C928" s="35"/>
      <c r="D928" s="41"/>
      <c r="E928" s="35"/>
    </row>
    <row r="929" ht="15.75" customHeight="1">
      <c r="A929" s="63"/>
      <c r="B929" s="64"/>
      <c r="C929" s="35"/>
      <c r="D929" s="41"/>
      <c r="E929" s="35"/>
    </row>
    <row r="930" ht="15.75" customHeight="1">
      <c r="A930" s="63"/>
      <c r="B930" s="64"/>
      <c r="C930" s="35"/>
      <c r="D930" s="41"/>
      <c r="E930" s="35"/>
    </row>
    <row r="931" ht="15.75" customHeight="1">
      <c r="A931" s="63"/>
      <c r="B931" s="64"/>
      <c r="C931" s="35"/>
      <c r="D931" s="41"/>
      <c r="E931" s="35"/>
    </row>
    <row r="932" ht="15.75" customHeight="1">
      <c r="A932" s="63"/>
      <c r="B932" s="64"/>
      <c r="C932" s="35"/>
      <c r="D932" s="41"/>
      <c r="E932" s="35"/>
    </row>
    <row r="933" ht="15.75" customHeight="1">
      <c r="A933" s="63"/>
      <c r="B933" s="64"/>
      <c r="C933" s="35"/>
      <c r="D933" s="41"/>
      <c r="E933" s="35"/>
    </row>
    <row r="934" ht="15.75" customHeight="1">
      <c r="A934" s="63"/>
      <c r="B934" s="64"/>
      <c r="C934" s="35"/>
      <c r="D934" s="41"/>
      <c r="E934" s="35"/>
    </row>
    <row r="935" ht="15.75" customHeight="1">
      <c r="A935" s="63"/>
      <c r="B935" s="64"/>
      <c r="C935" s="35"/>
      <c r="D935" s="41"/>
      <c r="E935" s="35"/>
    </row>
    <row r="936" ht="15.75" customHeight="1">
      <c r="A936" s="63"/>
      <c r="B936" s="64"/>
      <c r="C936" s="35"/>
      <c r="D936" s="41"/>
      <c r="E936" s="35"/>
    </row>
    <row r="937" ht="15.75" customHeight="1">
      <c r="A937" s="63"/>
      <c r="B937" s="64"/>
      <c r="C937" s="35"/>
      <c r="D937" s="41"/>
      <c r="E937" s="35"/>
    </row>
    <row r="938" ht="15.75" customHeight="1">
      <c r="A938" s="63"/>
      <c r="B938" s="64"/>
      <c r="C938" s="35"/>
      <c r="D938" s="41"/>
      <c r="E938" s="35"/>
    </row>
    <row r="939" ht="15.75" customHeight="1">
      <c r="A939" s="63"/>
      <c r="B939" s="64"/>
      <c r="C939" s="35"/>
      <c r="D939" s="41"/>
      <c r="E939" s="35"/>
    </row>
    <row r="940" ht="15.75" customHeight="1">
      <c r="A940" s="63"/>
      <c r="B940" s="64"/>
      <c r="C940" s="35"/>
      <c r="D940" s="41"/>
      <c r="E940" s="35"/>
    </row>
    <row r="941" ht="15.75" customHeight="1">
      <c r="A941" s="63"/>
      <c r="B941" s="64"/>
      <c r="C941" s="35"/>
      <c r="D941" s="41"/>
      <c r="E941" s="35"/>
    </row>
    <row r="942" ht="15.75" customHeight="1">
      <c r="A942" s="63"/>
      <c r="B942" s="64"/>
      <c r="C942" s="35"/>
      <c r="D942" s="41"/>
      <c r="E942" s="35"/>
    </row>
    <row r="943" ht="15.75" customHeight="1">
      <c r="A943" s="63"/>
      <c r="B943" s="64"/>
      <c r="C943" s="35"/>
      <c r="D943" s="41"/>
      <c r="E943" s="35"/>
    </row>
    <row r="944" ht="15.75" customHeight="1">
      <c r="A944" s="63"/>
      <c r="B944" s="64"/>
      <c r="C944" s="35"/>
      <c r="D944" s="41"/>
      <c r="E944" s="35"/>
    </row>
    <row r="945" ht="15.75" customHeight="1">
      <c r="A945" s="63"/>
      <c r="B945" s="64"/>
      <c r="C945" s="35"/>
      <c r="D945" s="41"/>
      <c r="E945" s="35"/>
    </row>
    <row r="946" ht="15.75" customHeight="1">
      <c r="A946" s="63"/>
      <c r="B946" s="64"/>
      <c r="C946" s="35"/>
      <c r="D946" s="41"/>
      <c r="E946" s="35"/>
    </row>
    <row r="947" ht="15.75" customHeight="1">
      <c r="A947" s="63"/>
      <c r="B947" s="64"/>
      <c r="C947" s="35"/>
      <c r="D947" s="41"/>
      <c r="E947" s="35"/>
    </row>
    <row r="948" ht="15.75" customHeight="1">
      <c r="A948" s="63"/>
      <c r="B948" s="64"/>
      <c r="C948" s="35"/>
      <c r="D948" s="41"/>
      <c r="E948" s="35"/>
    </row>
    <row r="949" ht="15.75" customHeight="1">
      <c r="A949" s="63"/>
      <c r="B949" s="64"/>
      <c r="C949" s="35"/>
      <c r="D949" s="41"/>
      <c r="E949" s="35"/>
    </row>
    <row r="950" ht="15.75" customHeight="1">
      <c r="A950" s="63"/>
      <c r="B950" s="64"/>
      <c r="C950" s="35"/>
      <c r="D950" s="41"/>
      <c r="E950" s="35"/>
    </row>
    <row r="951" ht="15.75" customHeight="1">
      <c r="A951" s="63"/>
      <c r="B951" s="64"/>
      <c r="C951" s="35"/>
      <c r="D951" s="41"/>
      <c r="E951" s="35"/>
    </row>
    <row r="952" ht="15.75" customHeight="1">
      <c r="A952" s="63"/>
      <c r="B952" s="64"/>
      <c r="C952" s="35"/>
      <c r="D952" s="41"/>
      <c r="E952" s="35"/>
    </row>
    <row r="953" ht="15.75" customHeight="1">
      <c r="A953" s="63"/>
      <c r="B953" s="64"/>
      <c r="C953" s="35"/>
      <c r="D953" s="41"/>
      <c r="E953" s="35"/>
    </row>
    <row r="954" ht="15.75" customHeight="1">
      <c r="A954" s="63"/>
      <c r="B954" s="64"/>
      <c r="C954" s="35"/>
      <c r="D954" s="41"/>
      <c r="E954" s="35"/>
    </row>
    <row r="955" ht="15.75" customHeight="1">
      <c r="A955" s="63"/>
      <c r="B955" s="64"/>
      <c r="C955" s="35"/>
      <c r="D955" s="41"/>
      <c r="E955" s="35"/>
    </row>
    <row r="956" ht="15.75" customHeight="1">
      <c r="A956" s="63"/>
      <c r="B956" s="64"/>
      <c r="C956" s="35"/>
      <c r="D956" s="41"/>
      <c r="E956" s="35"/>
    </row>
    <row r="957" ht="15.75" customHeight="1">
      <c r="A957" s="63"/>
      <c r="B957" s="64"/>
      <c r="C957" s="35"/>
      <c r="D957" s="41"/>
      <c r="E957" s="35"/>
    </row>
    <row r="958" ht="15.75" customHeight="1">
      <c r="A958" s="63"/>
      <c r="B958" s="64"/>
      <c r="C958" s="35"/>
      <c r="D958" s="41"/>
      <c r="E958" s="35"/>
    </row>
    <row r="959" ht="15.75" customHeight="1">
      <c r="A959" s="63"/>
      <c r="B959" s="64"/>
      <c r="C959" s="35"/>
      <c r="D959" s="41"/>
      <c r="E959" s="35"/>
    </row>
    <row r="960" ht="15.75" customHeight="1">
      <c r="A960" s="63"/>
      <c r="B960" s="64"/>
      <c r="C960" s="35"/>
      <c r="D960" s="41"/>
      <c r="E960" s="35"/>
    </row>
    <row r="961" ht="15.75" customHeight="1">
      <c r="A961" s="63"/>
      <c r="B961" s="64"/>
      <c r="C961" s="35"/>
      <c r="D961" s="41"/>
      <c r="E961" s="35"/>
    </row>
    <row r="962" ht="15.75" customHeight="1">
      <c r="A962" s="63"/>
      <c r="B962" s="64"/>
      <c r="C962" s="35"/>
      <c r="D962" s="41"/>
      <c r="E962" s="35"/>
    </row>
    <row r="963" ht="15.75" customHeight="1">
      <c r="A963" s="63"/>
      <c r="B963" s="64"/>
      <c r="C963" s="35"/>
      <c r="D963" s="41"/>
      <c r="E963" s="35"/>
    </row>
    <row r="964" ht="15.75" customHeight="1">
      <c r="A964" s="63"/>
      <c r="B964" s="64"/>
      <c r="C964" s="35"/>
      <c r="D964" s="41"/>
      <c r="E964" s="35"/>
    </row>
    <row r="965" ht="15.75" customHeight="1">
      <c r="A965" s="63"/>
      <c r="B965" s="64"/>
      <c r="C965" s="35"/>
      <c r="D965" s="41"/>
      <c r="E965" s="35"/>
    </row>
    <row r="966" ht="15.75" customHeight="1">
      <c r="A966" s="63"/>
      <c r="B966" s="64"/>
      <c r="C966" s="35"/>
      <c r="D966" s="41"/>
      <c r="E966" s="35"/>
    </row>
    <row r="967" ht="15.75" customHeight="1">
      <c r="A967" s="63"/>
      <c r="B967" s="64"/>
      <c r="C967" s="35"/>
      <c r="D967" s="41"/>
      <c r="E967" s="35"/>
    </row>
    <row r="968" ht="15.75" customHeight="1">
      <c r="A968" s="63"/>
      <c r="B968" s="64"/>
      <c r="C968" s="35"/>
      <c r="D968" s="41"/>
      <c r="E968" s="35"/>
    </row>
    <row r="969" ht="15.75" customHeight="1">
      <c r="A969" s="63"/>
      <c r="B969" s="64"/>
      <c r="C969" s="35"/>
      <c r="D969" s="41"/>
      <c r="E969" s="35"/>
    </row>
    <row r="970" ht="15.75" customHeight="1">
      <c r="A970" s="63"/>
      <c r="B970" s="64"/>
      <c r="C970" s="35"/>
      <c r="D970" s="41"/>
      <c r="E970" s="35"/>
    </row>
    <row r="971" ht="15.75" customHeight="1">
      <c r="A971" s="63"/>
      <c r="B971" s="64"/>
      <c r="C971" s="35"/>
      <c r="D971" s="41"/>
      <c r="E971" s="35"/>
    </row>
    <row r="972" ht="15.75" customHeight="1">
      <c r="A972" s="63"/>
      <c r="B972" s="64"/>
      <c r="C972" s="35"/>
      <c r="D972" s="41"/>
      <c r="E972" s="35"/>
    </row>
    <row r="973" ht="15.75" customHeight="1">
      <c r="A973" s="63"/>
      <c r="B973" s="64"/>
      <c r="C973" s="35"/>
      <c r="D973" s="41"/>
      <c r="E973" s="35"/>
    </row>
    <row r="974" ht="15.75" customHeight="1">
      <c r="A974" s="63"/>
      <c r="B974" s="64"/>
      <c r="C974" s="35"/>
      <c r="D974" s="41"/>
      <c r="E974" s="35"/>
    </row>
    <row r="975" ht="15.75" customHeight="1">
      <c r="A975" s="63"/>
      <c r="B975" s="64"/>
      <c r="C975" s="35"/>
      <c r="D975" s="41"/>
      <c r="E975" s="35"/>
    </row>
    <row r="976" ht="15.75" customHeight="1">
      <c r="A976" s="63"/>
      <c r="B976" s="64"/>
      <c r="C976" s="35"/>
      <c r="D976" s="41"/>
      <c r="E976" s="35"/>
    </row>
    <row r="977" ht="15.75" customHeight="1">
      <c r="A977" s="63"/>
      <c r="B977" s="64"/>
      <c r="C977" s="35"/>
      <c r="D977" s="41"/>
      <c r="E977" s="35"/>
    </row>
    <row r="978" ht="15.75" customHeight="1">
      <c r="A978" s="63"/>
      <c r="B978" s="64"/>
      <c r="C978" s="35"/>
      <c r="D978" s="41"/>
      <c r="E978" s="35"/>
    </row>
    <row r="979" ht="15.75" customHeight="1">
      <c r="A979" s="63"/>
      <c r="B979" s="64"/>
      <c r="C979" s="35"/>
      <c r="D979" s="41"/>
      <c r="E979" s="35"/>
    </row>
    <row r="980" ht="15.75" customHeight="1">
      <c r="A980" s="63"/>
      <c r="B980" s="64"/>
      <c r="C980" s="35"/>
      <c r="D980" s="41"/>
      <c r="E980" s="35"/>
    </row>
    <row r="981" ht="15.75" customHeight="1">
      <c r="A981" s="63"/>
      <c r="B981" s="64"/>
      <c r="C981" s="35"/>
      <c r="D981" s="41"/>
      <c r="E981" s="35"/>
    </row>
    <row r="982" ht="15.75" customHeight="1">
      <c r="A982" s="63"/>
      <c r="B982" s="64"/>
      <c r="C982" s="35"/>
      <c r="D982" s="41"/>
      <c r="E982" s="35"/>
    </row>
    <row r="983" ht="15.75" customHeight="1">
      <c r="A983" s="63"/>
      <c r="B983" s="64"/>
      <c r="C983" s="35"/>
      <c r="D983" s="41"/>
      <c r="E983" s="35"/>
    </row>
    <row r="984" ht="15.75" customHeight="1">
      <c r="A984" s="63"/>
      <c r="B984" s="64"/>
      <c r="C984" s="35"/>
      <c r="D984" s="41"/>
      <c r="E984" s="35"/>
    </row>
    <row r="985" ht="15.75" customHeight="1">
      <c r="A985" s="63"/>
      <c r="B985" s="64"/>
      <c r="C985" s="35"/>
      <c r="D985" s="41"/>
      <c r="E985" s="35"/>
    </row>
    <row r="986" ht="15.75" customHeight="1">
      <c r="A986" s="63"/>
      <c r="B986" s="64"/>
      <c r="C986" s="35"/>
      <c r="D986" s="41"/>
      <c r="E986" s="35"/>
    </row>
    <row r="987" ht="15.75" customHeight="1">
      <c r="A987" s="63"/>
      <c r="B987" s="64"/>
      <c r="C987" s="35"/>
      <c r="D987" s="41"/>
      <c r="E987" s="35"/>
    </row>
    <row r="988" ht="15.75" customHeight="1">
      <c r="A988" s="63"/>
      <c r="B988" s="64"/>
      <c r="C988" s="35"/>
      <c r="D988" s="41"/>
      <c r="E988" s="35"/>
    </row>
    <row r="989" ht="15.75" customHeight="1">
      <c r="A989" s="63"/>
      <c r="B989" s="64"/>
      <c r="C989" s="35"/>
      <c r="D989" s="41"/>
      <c r="E989" s="35"/>
    </row>
    <row r="990" ht="15.75" customHeight="1">
      <c r="A990" s="63"/>
      <c r="B990" s="64"/>
      <c r="C990" s="35"/>
      <c r="D990" s="41"/>
      <c r="E990" s="35"/>
    </row>
    <row r="991" ht="15.75" customHeight="1">
      <c r="A991" s="63"/>
      <c r="B991" s="64"/>
      <c r="C991" s="35"/>
      <c r="D991" s="41"/>
      <c r="E991" s="35"/>
    </row>
    <row r="992" ht="15.75" customHeight="1">
      <c r="A992" s="63"/>
      <c r="B992" s="64"/>
      <c r="C992" s="35"/>
      <c r="D992" s="41"/>
      <c r="E992" s="35"/>
    </row>
    <row r="993" ht="15.75" customHeight="1">
      <c r="A993" s="63"/>
      <c r="B993" s="64"/>
      <c r="C993" s="35"/>
      <c r="D993" s="41"/>
      <c r="E993" s="35"/>
    </row>
    <row r="994" ht="15.75" customHeight="1">
      <c r="A994" s="63"/>
      <c r="B994" s="64"/>
      <c r="C994" s="35"/>
      <c r="D994" s="41"/>
      <c r="E994" s="35"/>
    </row>
    <row r="995" ht="15.75" customHeight="1">
      <c r="A995" s="63"/>
      <c r="B995" s="64"/>
      <c r="C995" s="35"/>
      <c r="D995" s="41"/>
      <c r="E995" s="35"/>
    </row>
    <row r="996" ht="15.75" customHeight="1">
      <c r="A996" s="63"/>
      <c r="B996" s="64"/>
      <c r="C996" s="35"/>
      <c r="D996" s="41"/>
      <c r="E996" s="35"/>
    </row>
    <row r="997" ht="15.75" customHeight="1">
      <c r="A997" s="63"/>
      <c r="B997" s="64"/>
      <c r="C997" s="35"/>
      <c r="D997" s="41"/>
      <c r="E997" s="35"/>
    </row>
    <row r="998" ht="15.75" customHeight="1">
      <c r="A998" s="63"/>
      <c r="B998" s="64"/>
      <c r="C998" s="35"/>
      <c r="D998" s="41"/>
      <c r="E998" s="35"/>
    </row>
    <row r="999" ht="15.75" customHeight="1">
      <c r="A999" s="63"/>
      <c r="B999" s="64"/>
      <c r="C999" s="35"/>
      <c r="D999" s="41"/>
      <c r="E999" s="35"/>
    </row>
    <row r="1000" ht="15.75" customHeight="1">
      <c r="A1000" s="63"/>
      <c r="B1000" s="64"/>
      <c r="C1000" s="35"/>
      <c r="D1000" s="41"/>
      <c r="E1000" s="35"/>
    </row>
    <row r="1001" ht="15.75" customHeight="1">
      <c r="A1001" s="63"/>
      <c r="B1001" s="64"/>
      <c r="C1001" s="35"/>
      <c r="D1001" s="41"/>
      <c r="E1001" s="35"/>
    </row>
    <row r="1002" ht="15.75" customHeight="1">
      <c r="A1002" s="63"/>
      <c r="B1002" s="64"/>
      <c r="C1002" s="35"/>
      <c r="D1002" s="41"/>
      <c r="E1002" s="35"/>
    </row>
    <row r="1003" ht="15.75" customHeight="1">
      <c r="A1003" s="63"/>
      <c r="B1003" s="64"/>
      <c r="C1003" s="35"/>
      <c r="D1003" s="41"/>
      <c r="E1003" s="35"/>
    </row>
    <row r="1004" ht="15.75" customHeight="1">
      <c r="A1004" s="63"/>
      <c r="B1004" s="64"/>
      <c r="C1004" s="35"/>
      <c r="D1004" s="41"/>
      <c r="E1004" s="35"/>
    </row>
    <row r="1005" ht="15.75" customHeight="1">
      <c r="A1005" s="63"/>
      <c r="B1005" s="64"/>
      <c r="C1005" s="35"/>
      <c r="D1005" s="41"/>
      <c r="E1005" s="35"/>
    </row>
  </sheetData>
  <mergeCells count="5">
    <mergeCell ref="A1:E1"/>
    <mergeCell ref="G2:H2"/>
    <mergeCell ref="G11:H11"/>
    <mergeCell ref="G12:H12"/>
    <mergeCell ref="G13:H13"/>
  </mergeCells>
  <conditionalFormatting sqref="G8:G10">
    <cfRule type="containsText" dxfId="9" priority="1" operator="containsText" text="Completed">
      <formula>NOT(ISERROR(SEARCH(("Completed"),(G8))))</formula>
    </cfRule>
  </conditionalFormatting>
  <conditionalFormatting sqref="G8:G10">
    <cfRule type="containsText" dxfId="10" priority="2" operator="containsText" text="Pending">
      <formula>NOT(ISERROR(SEARCH(("Pending"),(G8))))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6:H8">
    <cfRule type="containsText" dxfId="12" priority="7" operator="containsText" text="Issue Triggered">
      <formula>NOT(ISERROR(SEARCH(("Issue Triggered"),(D3))))</formula>
    </cfRule>
  </conditionalFormatting>
  <conditionalFormatting sqref="D2:D1005 H3:H9">
    <cfRule type="containsText" dxfId="13" priority="8" operator="containsText" text="PASS">
      <formula>NOT(ISERROR(SEARCH(("PASS"),(D2))))</formula>
    </cfRule>
  </conditionalFormatting>
  <conditionalFormatting sqref="D2:D1005 H3:H9">
    <cfRule type="containsText" dxfId="14" priority="9" operator="containsText" text="CHECK">
      <formula>NOT(ISERROR(SEARCH(("CHECK"),(D2))))</formula>
    </cfRule>
  </conditionalFormatting>
  <conditionalFormatting sqref="D2:D1005 H3:H9">
    <cfRule type="containsText" dxfId="15" priority="10" operator="containsText" text="PROBLEM">
      <formula>NOT(ISERROR(SEARCH(("PROBLEM"),(D2))))</formula>
    </cfRule>
  </conditionalFormatting>
  <conditionalFormatting sqref="D2:D1005 H3:H9">
    <cfRule type="containsText" dxfId="16" priority="11" operator="containsText" text="NOT CHECKED">
      <formula>NOT(ISERROR(SEARCH(("NOT CHECKED"),(D2))))</formula>
    </cfRule>
  </conditionalFormatting>
  <conditionalFormatting sqref="D2:D1005 H3:H9">
    <cfRule type="containsText" dxfId="17" priority="12" operator="containsText" text="NOT USED">
      <formula>NOT(ISERROR(SEARCH(("NOT USED"),(D2))))</formula>
    </cfRule>
  </conditionalFormatting>
  <conditionalFormatting sqref="D2:D1005 H3:H9">
    <cfRule type="containsText" dxfId="18" priority="13" operator="containsText" text="N/A">
      <formula>NOT(ISERROR(SEARCH(("N/A"),(D2))))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 Page" location="Symbol!A1" ref="G11"/>
    <hyperlink display="Home" location="Overview!A1" ref="G12"/>
    <hyperlink display="Next" location="'Mounting Holes'!A1" ref="G13"/>
  </hyperlinks>
  <printOptions/>
  <pageMargins bottom="0.75" footer="0.0" header="0.0" left="0.7" right="0.7" top="0.75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  <c r="H1" s="89"/>
      <c r="I1" s="89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89"/>
      <c r="H2" s="89"/>
    </row>
    <row r="3" ht="12.75" customHeight="1">
      <c r="A3" s="39">
        <v>1.0</v>
      </c>
      <c r="B3" s="40"/>
      <c r="C3" s="40"/>
      <c r="D3" s="41"/>
      <c r="E3" s="42"/>
      <c r="G3" s="38" t="s">
        <v>59</v>
      </c>
      <c r="H3" s="3"/>
    </row>
    <row r="4" ht="12.75" customHeight="1">
      <c r="A4" s="44">
        <v>2.0</v>
      </c>
      <c r="B4" s="45"/>
      <c r="C4" s="40"/>
      <c r="D4" s="41"/>
      <c r="E4" s="42"/>
      <c r="G4" s="43">
        <f>COUNTIF(D:D,"Done")</f>
        <v>0</v>
      </c>
      <c r="H4" s="41" t="s">
        <v>62</v>
      </c>
    </row>
    <row r="5" ht="12.75" customHeight="1">
      <c r="A5" s="44">
        <v>3.0</v>
      </c>
      <c r="B5" s="40"/>
      <c r="C5" s="40"/>
      <c r="D5" s="41"/>
      <c r="E5" s="42"/>
      <c r="G5" s="43">
        <f>COUNTIF(D:D,"In Progress")</f>
        <v>0</v>
      </c>
      <c r="H5" s="41" t="s">
        <v>64</v>
      </c>
    </row>
    <row r="6" ht="12.75" customHeight="1">
      <c r="A6" s="44">
        <v>4.0</v>
      </c>
      <c r="B6" s="45"/>
      <c r="C6" s="40"/>
      <c r="D6" s="41"/>
      <c r="E6" s="42"/>
      <c r="G6" s="43">
        <f>COUNTIF(D:D,"Issue Triggered")</f>
        <v>0</v>
      </c>
      <c r="H6" s="46" t="s">
        <v>15</v>
      </c>
    </row>
    <row r="7" ht="12.75" customHeight="1">
      <c r="A7" s="39">
        <v>5.0</v>
      </c>
      <c r="B7" s="40"/>
      <c r="C7" s="40"/>
      <c r="D7" s="41"/>
      <c r="E7" s="42"/>
      <c r="G7" s="43">
        <f t="shared" ref="G7:G8" si="1">COUNTIF(D:D,"NA")</f>
        <v>0</v>
      </c>
      <c r="H7" s="47" t="s">
        <v>67</v>
      </c>
    </row>
    <row r="8" ht="12.75" customHeight="1">
      <c r="A8" s="44">
        <v>6.0</v>
      </c>
      <c r="B8" s="40"/>
      <c r="C8" s="40"/>
      <c r="D8" s="41"/>
      <c r="E8" s="42"/>
      <c r="G8" s="43">
        <f t="shared" si="1"/>
        <v>0</v>
      </c>
      <c r="H8" s="48" t="s">
        <v>61</v>
      </c>
    </row>
    <row r="9" ht="12.75" customHeight="1">
      <c r="A9" s="44">
        <v>7.0</v>
      </c>
      <c r="B9" s="40"/>
      <c r="C9" s="40"/>
      <c r="D9" s="41"/>
      <c r="E9" s="42"/>
      <c r="G9" s="43">
        <f>COUNTIF(B3:B1005,"&lt;&gt;")</f>
        <v>0</v>
      </c>
      <c r="H9" s="49" t="s">
        <v>70</v>
      </c>
    </row>
    <row r="10" ht="12.75" customHeight="1">
      <c r="A10" s="44">
        <v>8.0</v>
      </c>
      <c r="B10" s="40"/>
      <c r="C10" s="40"/>
      <c r="D10" s="41"/>
      <c r="E10" s="42"/>
      <c r="G10" s="66" t="str">
        <f>IF((G9)=(G4+G8),"Completed","Pending")</f>
        <v>Completed</v>
      </c>
      <c r="H10" s="51" t="s">
        <v>72</v>
      </c>
    </row>
    <row r="11" ht="12.75" customHeight="1">
      <c r="A11" s="39">
        <v>9.0</v>
      </c>
      <c r="B11" s="40"/>
      <c r="C11" s="40"/>
      <c r="D11" s="41"/>
      <c r="E11" s="42"/>
    </row>
    <row r="12" ht="12.75" customHeight="1">
      <c r="A12" s="44">
        <v>10.0</v>
      </c>
      <c r="B12" s="40"/>
      <c r="C12" s="40"/>
      <c r="D12" s="41"/>
      <c r="E12" s="42"/>
      <c r="G12" s="67" t="s">
        <v>75</v>
      </c>
      <c r="H12" s="6"/>
    </row>
    <row r="13" ht="12.75" customHeight="1">
      <c r="A13" s="44">
        <v>11.0</v>
      </c>
      <c r="B13" s="45"/>
      <c r="C13" s="40"/>
      <c r="D13" s="41"/>
      <c r="E13" s="42"/>
      <c r="G13" s="53" t="s">
        <v>77</v>
      </c>
      <c r="H13" s="54"/>
    </row>
    <row r="14" ht="12.75" customHeight="1">
      <c r="A14" s="44">
        <v>12.0</v>
      </c>
      <c r="B14" s="45"/>
      <c r="C14" s="40"/>
      <c r="D14" s="41"/>
      <c r="E14" s="42"/>
      <c r="G14" s="5" t="s">
        <v>79</v>
      </c>
      <c r="H14" s="6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  <c r="G18" s="74" t="s">
        <v>86</v>
      </c>
    </row>
    <row r="19" ht="12.75" customHeight="1">
      <c r="A19" s="55"/>
      <c r="B19" s="56"/>
      <c r="C19" s="56"/>
      <c r="D19" s="41"/>
      <c r="E19" s="57"/>
      <c r="G19" s="74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38"/>
  <mergeCells count="5">
    <mergeCell ref="A1:E1"/>
    <mergeCell ref="G3:H3"/>
    <mergeCell ref="G12:H12"/>
    <mergeCell ref="G13:H13"/>
    <mergeCell ref="G14:H14"/>
  </mergeCells>
  <conditionalFormatting sqref="G9:G10">
    <cfRule type="containsText" dxfId="9" priority="1" operator="containsText" text="Completed">
      <formula>NOT(ISERROR(SEARCH(("Completed"),(G9))))</formula>
    </cfRule>
  </conditionalFormatting>
  <conditionalFormatting sqref="G9:G10">
    <cfRule type="containsText" dxfId="10" priority="2" operator="containsText" text="Pending">
      <formula>NOT(ISERROR(SEARCH(("Pending"),(G9))))</formula>
    </cfRule>
  </conditionalFormatting>
  <conditionalFormatting sqref="D3:D1005 H4:H9">
    <cfRule type="containsText" dxfId="0" priority="3" operator="containsText" text="Done">
      <formula>NOT(ISERROR(SEARCH(("Done"),(D3))))</formula>
    </cfRule>
  </conditionalFormatting>
  <conditionalFormatting sqref="D3:D1005 H4:H9">
    <cfRule type="containsText" dxfId="1" priority="4" operator="containsText" text="In Progress">
      <formula>NOT(ISERROR(SEARCH(("In Progress"),(D3))))</formula>
    </cfRule>
  </conditionalFormatting>
  <conditionalFormatting sqref="D3:D1005 H4:H9">
    <cfRule type="containsText" dxfId="11" priority="5" operator="containsText" text="Not Started">
      <formula>NOT(ISERROR(SEARCH(("Not Started"),(D3))))</formula>
    </cfRule>
  </conditionalFormatting>
  <conditionalFormatting sqref="D3:D1005 H4:H9">
    <cfRule type="containsText" dxfId="3" priority="6" operator="containsText" text="NA">
      <formula>NOT(ISERROR(SEARCH(("NA"),(D3))))</formula>
    </cfRule>
  </conditionalFormatting>
  <conditionalFormatting sqref="D3:D1005 H7:H8">
    <cfRule type="containsText" dxfId="12" priority="7" operator="containsText" text="Issue Triggered">
      <formula>NOT(ISERROR(SEARCH(("Issue Triggered"),(D3))))</formula>
    </cfRule>
  </conditionalFormatting>
  <conditionalFormatting sqref="D2 H4:H9 D13:D19 D21:D25 D27:D37 D39:D1005">
    <cfRule type="containsText" dxfId="13" priority="8" operator="containsText" text="PASS">
      <formula>NOT(ISERROR(SEARCH(("PASS"),(D2))))</formula>
    </cfRule>
  </conditionalFormatting>
  <conditionalFormatting sqref="D2 H4:H9 D13:D19 D21:D25 D27:D37 D39:D1005">
    <cfRule type="containsText" dxfId="14" priority="9" operator="containsText" text="CHECK">
      <formula>NOT(ISERROR(SEARCH(("CHECK"),(D2))))</formula>
    </cfRule>
  </conditionalFormatting>
  <conditionalFormatting sqref="D2 H4:H9 D13:D19 D21:D25 D27:D37 D39:D1005">
    <cfRule type="containsText" dxfId="15" priority="10" operator="containsText" text="PROBLEM">
      <formula>NOT(ISERROR(SEARCH(("PROBLEM"),(D2))))</formula>
    </cfRule>
  </conditionalFormatting>
  <conditionalFormatting sqref="D2 H4:H9 D13:D19 D21:D25 D27:D37 D39:D1005">
    <cfRule type="containsText" dxfId="16" priority="11" operator="containsText" text="NOT CHECKED">
      <formula>NOT(ISERROR(SEARCH(("NOT CHECKED"),(D2))))</formula>
    </cfRule>
  </conditionalFormatting>
  <conditionalFormatting sqref="D2 H4:H9 D13:D19 D21:D25 D27:D37 D39:D1005">
    <cfRule type="containsText" dxfId="17" priority="12" operator="containsText" text="NOT USED">
      <formula>NOT(ISERROR(SEARCH(("NOT USED"),(D2))))</formula>
    </cfRule>
  </conditionalFormatting>
  <conditionalFormatting sqref="D2 H4:H9 D13:D19 D21:D25 D27:D37 D39:D1005">
    <cfRule type="containsText" dxfId="18" priority="13" operator="containsText" text="N/A">
      <formula>NOT(ISERROR(SEARCH(("N/A"),(D2))))</formula>
    </cfRule>
  </conditionalFormatting>
  <conditionalFormatting sqref="D4:D11">
    <cfRule type="containsText" dxfId="13" priority="14" operator="containsText" text="PASS">
      <formula>NOT(ISERROR(SEARCH(("PASS"),(D4))))</formula>
    </cfRule>
  </conditionalFormatting>
  <conditionalFormatting sqref="D4:D11">
    <cfRule type="containsText" dxfId="14" priority="15" operator="containsText" text="CHECK">
      <formula>NOT(ISERROR(SEARCH(("CHECK"),(D4))))</formula>
    </cfRule>
  </conditionalFormatting>
  <conditionalFormatting sqref="D4:D11">
    <cfRule type="containsText" dxfId="15" priority="16" operator="containsText" text="PROBLEM">
      <formula>NOT(ISERROR(SEARCH(("PROBLEM"),(D4))))</formula>
    </cfRule>
  </conditionalFormatting>
  <conditionalFormatting sqref="D4:D11">
    <cfRule type="containsText" dxfId="16" priority="17" operator="containsText" text="NOT CHECKED">
      <formula>NOT(ISERROR(SEARCH(("NOT CHECKED"),(D4))))</formula>
    </cfRule>
  </conditionalFormatting>
  <conditionalFormatting sqref="D4:D11">
    <cfRule type="containsText" dxfId="17" priority="18" operator="containsText" text="NOT USED">
      <formula>NOT(ISERROR(SEARCH(("NOT USED"),(D4))))</formula>
    </cfRule>
  </conditionalFormatting>
  <conditionalFormatting sqref="D4:D11">
    <cfRule type="containsText" dxfId="18" priority="19" operator="containsText" text="N/A">
      <formula>NOT(ISERROR(SEARCH(("N/A"),(D4))))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 Page" location="Symbol!A1" ref="G12"/>
    <hyperlink display="Home" location="Overview!A1" ref="G13"/>
    <hyperlink display="Next" location="'Mounting Holes'!A1" ref="G14"/>
  </hyperlinks>
  <printOptions/>
  <pageMargins bottom="0.75" footer="0.0" header="0.0" left="0.7" right="0.7" top="0.75"/>
  <pageSetup orientation="landscape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/>
      <c r="C3" s="40"/>
      <c r="D3" s="41"/>
      <c r="E3" s="42"/>
      <c r="G3" s="43">
        <f>COUNTIF(D:D,"Done")</f>
        <v>0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0</v>
      </c>
      <c r="H8" s="49" t="s">
        <v>70</v>
      </c>
    </row>
    <row r="9" ht="12.75" customHeight="1">
      <c r="A9" s="44">
        <v>7.0</v>
      </c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/>
    </row>
    <row r="18" ht="12.75" customHeight="1">
      <c r="A18" s="39"/>
      <c r="B18" s="35"/>
      <c r="C18" s="40"/>
      <c r="D18" s="41"/>
      <c r="E18" s="42"/>
      <c r="G18" s="74"/>
    </row>
    <row r="19" ht="12.75" customHeight="1">
      <c r="A19" s="55"/>
      <c r="B19" s="56"/>
      <c r="C19" s="56"/>
      <c r="D19" s="41"/>
      <c r="E19" s="57"/>
      <c r="I19" s="89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43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21 D23:D37 D39:D42 D44:D1005">
    <cfRule type="containsText" dxfId="13" priority="8" operator="containsText" text="PASS">
      <formula>NOT(ISERROR(SEARCH(("PASS"),(D2))))</formula>
    </cfRule>
  </conditionalFormatting>
  <conditionalFormatting sqref="D2 H3:H9 D4:D21 D23:D37 D39:D42 D44:D1005">
    <cfRule type="containsText" dxfId="14" priority="9" operator="containsText" text="CHECK">
      <formula>NOT(ISERROR(SEARCH(("CHECK"),(D2))))</formula>
    </cfRule>
  </conditionalFormatting>
  <conditionalFormatting sqref="D2 H3:H9 D4:D21 D23:D37 D39:D42 D44:D1005">
    <cfRule type="containsText" dxfId="15" priority="10" operator="containsText" text="PROBLEM">
      <formula>NOT(ISERROR(SEARCH(("PROBLEM"),(D2))))</formula>
    </cfRule>
  </conditionalFormatting>
  <conditionalFormatting sqref="D2 H3:H9 D4:D21 D23:D37 D39:D42 D44:D1005">
    <cfRule type="containsText" dxfId="16" priority="11" operator="containsText" text="NOT CHECKED">
      <formula>NOT(ISERROR(SEARCH(("NOT CHECKED"),(D2))))</formula>
    </cfRule>
  </conditionalFormatting>
  <conditionalFormatting sqref="D2 H3:H9 D4:D21 D23:D37 D39:D42 D44:D1005">
    <cfRule type="containsText" dxfId="17" priority="12" operator="containsText" text="NOT USED">
      <formula>NOT(ISERROR(SEARCH(("NOT USED"),(D2))))</formula>
    </cfRule>
  </conditionalFormatting>
  <conditionalFormatting sqref="D2 H3:H9 D4:D21 D23:D37 D39:D42 D44:D1005">
    <cfRule type="containsText" dxfId="18" priority="13" operator="containsText" text="N/A">
      <formula>NOT(ISERROR(SEARCH(("N/A"),(D2))))</formula>
    </cfRule>
  </conditionalFormatting>
  <conditionalFormatting sqref="D38">
    <cfRule type="containsText" dxfId="13" priority="14" operator="containsText" text="PASS">
      <formula>NOT(ISERROR(SEARCH(("PASS"),(D38))))</formula>
    </cfRule>
  </conditionalFormatting>
  <conditionalFormatting sqref="D38">
    <cfRule type="containsText" dxfId="14" priority="15" operator="containsText" text="CHECK">
      <formula>NOT(ISERROR(SEARCH(("CHECK"),(D38))))</formula>
    </cfRule>
  </conditionalFormatting>
  <conditionalFormatting sqref="D38">
    <cfRule type="containsText" dxfId="15" priority="16" operator="containsText" text="PROBLEM">
      <formula>NOT(ISERROR(SEARCH(("PROBLEM"),(D38))))</formula>
    </cfRule>
  </conditionalFormatting>
  <conditionalFormatting sqref="D38">
    <cfRule type="containsText" dxfId="16" priority="17" operator="containsText" text="NOT CHECKED">
      <formula>NOT(ISERROR(SEARCH(("NOT CHECKED"),(D38))))</formula>
    </cfRule>
  </conditionalFormatting>
  <conditionalFormatting sqref="D38">
    <cfRule type="containsText" dxfId="17" priority="18" operator="containsText" text="NOT USED">
      <formula>NOT(ISERROR(SEARCH(("NOT USED"),(D38))))</formula>
    </cfRule>
  </conditionalFormatting>
  <conditionalFormatting sqref="D38">
    <cfRule type="containsText" dxfId="18" priority="19" operator="containsText" text="N/A">
      <formula>NOT(ISERROR(SEARCH(("N/A"),(D38))))</formula>
    </cfRule>
  </conditionalFormatting>
  <conditionalFormatting sqref="D43">
    <cfRule type="containsText" dxfId="13" priority="20" operator="containsText" text="PASS">
      <formula>NOT(ISERROR(SEARCH(("PASS"),(D43))))</formula>
    </cfRule>
  </conditionalFormatting>
  <conditionalFormatting sqref="D43">
    <cfRule type="containsText" dxfId="14" priority="21" operator="containsText" text="CHECK">
      <formula>NOT(ISERROR(SEARCH(("CHECK"),(D43))))</formula>
    </cfRule>
  </conditionalFormatting>
  <conditionalFormatting sqref="D43">
    <cfRule type="containsText" dxfId="15" priority="22" operator="containsText" text="PROBLEM">
      <formula>NOT(ISERROR(SEARCH(("PROBLEM"),(D43))))</formula>
    </cfRule>
  </conditionalFormatting>
  <conditionalFormatting sqref="D43">
    <cfRule type="containsText" dxfId="16" priority="23" operator="containsText" text="NOT CHECKED">
      <formula>NOT(ISERROR(SEARCH(("NOT CHECKED"),(D43))))</formula>
    </cfRule>
  </conditionalFormatting>
  <conditionalFormatting sqref="D43">
    <cfRule type="containsText" dxfId="17" priority="24" operator="containsText" text="NOT USED">
      <formula>NOT(ISERROR(SEARCH(("NOT USED"),(D43))))</formula>
    </cfRule>
  </conditionalFormatting>
  <conditionalFormatting sqref="D43">
    <cfRule type="containsText" dxfId="18" priority="25" operator="containsText" text="N/A">
      <formula>NOT(ISERROR(SEARCH(("N/A"),(D43))))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" location="'Level Translators, Reset, LED'!A1" ref="G11"/>
    <hyperlink display="Home" location="Overview!A1" ref="G12"/>
    <hyperlink display="Next" location="'Test Points'!A1" ref="G13"/>
  </hyperlinks>
  <printOptions/>
  <pageMargins bottom="0.75" footer="0.0" header="0.0" left="0.7" right="0.7" top="0.75"/>
  <pageSetup paperSize="9" orientation="portrait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8.13"/>
    <col customWidth="1" min="3" max="3" width="30.63"/>
    <col customWidth="1" min="4" max="4" width="14.25"/>
    <col customWidth="1" min="5" max="5" width="38.75"/>
    <col customWidth="1" min="6" max="6" width="12.63"/>
    <col customWidth="1" min="8" max="8" width="13.13"/>
  </cols>
  <sheetData>
    <row r="1" ht="12.75" customHeight="1">
      <c r="A1" s="1" t="s">
        <v>55</v>
      </c>
      <c r="B1" s="2"/>
      <c r="C1" s="2"/>
      <c r="D1" s="2"/>
      <c r="E1" s="3"/>
    </row>
    <row r="2" ht="15.75" customHeight="1">
      <c r="A2" s="8" t="s">
        <v>56</v>
      </c>
      <c r="B2" s="9" t="s">
        <v>57</v>
      </c>
      <c r="C2" s="9" t="s">
        <v>58</v>
      </c>
      <c r="D2" s="36" t="s">
        <v>7</v>
      </c>
      <c r="E2" s="37" t="s">
        <v>8</v>
      </c>
      <c r="F2" s="72"/>
      <c r="G2" s="38" t="s">
        <v>59</v>
      </c>
      <c r="H2" s="3"/>
    </row>
    <row r="3" ht="12.75" customHeight="1">
      <c r="A3" s="39">
        <v>1.0</v>
      </c>
      <c r="B3" s="40"/>
      <c r="C3" s="40"/>
      <c r="D3" s="41"/>
      <c r="E3" s="42"/>
      <c r="G3" s="43">
        <f>COUNTIF(D:D,"Done")</f>
        <v>0</v>
      </c>
      <c r="H3" s="41" t="s">
        <v>62</v>
      </c>
    </row>
    <row r="4" ht="12.75" customHeight="1">
      <c r="A4" s="44">
        <v>2.0</v>
      </c>
      <c r="B4" s="45"/>
      <c r="C4" s="40"/>
      <c r="D4" s="41"/>
      <c r="E4" s="42"/>
      <c r="G4" s="43">
        <f>COUNTIF(D:D,"In Progress")</f>
        <v>0</v>
      </c>
      <c r="H4" s="41" t="s">
        <v>64</v>
      </c>
    </row>
    <row r="5" ht="12.75" customHeight="1">
      <c r="A5" s="44">
        <v>3.0</v>
      </c>
      <c r="B5" s="40"/>
      <c r="C5" s="40"/>
      <c r="D5" s="41"/>
      <c r="E5" s="42"/>
      <c r="G5" s="43">
        <f>COUNTIF(D:D,"Issue Triggered")</f>
        <v>0</v>
      </c>
      <c r="H5" s="46" t="s">
        <v>15</v>
      </c>
    </row>
    <row r="6" ht="12.75" customHeight="1">
      <c r="A6" s="44">
        <v>4.0</v>
      </c>
      <c r="B6" s="45"/>
      <c r="C6" s="40"/>
      <c r="D6" s="41"/>
      <c r="E6" s="42"/>
      <c r="G6" s="43">
        <f t="shared" ref="G6:G7" si="1">COUNTIF(D:D,"NA")</f>
        <v>0</v>
      </c>
      <c r="H6" s="47" t="s">
        <v>67</v>
      </c>
    </row>
    <row r="7" ht="12.75" customHeight="1">
      <c r="A7" s="39">
        <v>5.0</v>
      </c>
      <c r="B7" s="40"/>
      <c r="C7" s="40"/>
      <c r="D7" s="41"/>
      <c r="E7" s="42"/>
      <c r="G7" s="43">
        <f t="shared" si="1"/>
        <v>0</v>
      </c>
      <c r="H7" s="48" t="s">
        <v>61</v>
      </c>
    </row>
    <row r="8" ht="12.75" customHeight="1">
      <c r="A8" s="44">
        <v>6.0</v>
      </c>
      <c r="B8" s="40"/>
      <c r="C8" s="40"/>
      <c r="D8" s="41"/>
      <c r="E8" s="42"/>
      <c r="G8" s="43">
        <f>COUNTIF(B3:B1005,"&lt;&gt;")</f>
        <v>0</v>
      </c>
      <c r="H8" s="49" t="s">
        <v>70</v>
      </c>
    </row>
    <row r="9" ht="26.25" customHeight="1">
      <c r="A9" s="44">
        <v>7.0</v>
      </c>
      <c r="B9" s="40"/>
      <c r="C9" s="40"/>
      <c r="D9" s="41"/>
      <c r="E9" s="42"/>
      <c r="G9" s="66" t="str">
        <f>IF((G8)=(G3+G7),"Completed","Pending")</f>
        <v>Completed</v>
      </c>
      <c r="H9" s="51" t="s">
        <v>72</v>
      </c>
    </row>
    <row r="10" ht="12.75" customHeight="1">
      <c r="A10" s="44">
        <v>8.0</v>
      </c>
      <c r="B10" s="40"/>
      <c r="C10" s="40"/>
      <c r="D10" s="41"/>
      <c r="E10" s="42"/>
    </row>
    <row r="11" ht="12.75" customHeight="1">
      <c r="A11" s="39">
        <v>9.0</v>
      </c>
      <c r="B11" s="40"/>
      <c r="C11" s="40"/>
      <c r="D11" s="41"/>
      <c r="E11" s="42"/>
      <c r="G11" s="81" t="s">
        <v>137</v>
      </c>
      <c r="H11" s="6"/>
    </row>
    <row r="12" ht="12.75" customHeight="1">
      <c r="A12" s="44">
        <v>10.0</v>
      </c>
      <c r="B12" s="40"/>
      <c r="C12" s="40"/>
      <c r="D12" s="41"/>
      <c r="E12" s="42"/>
      <c r="G12" s="82" t="s">
        <v>77</v>
      </c>
      <c r="H12" s="6"/>
    </row>
    <row r="13" ht="12.75" customHeight="1">
      <c r="A13" s="44">
        <v>11.0</v>
      </c>
      <c r="B13" s="45"/>
      <c r="C13" s="40"/>
      <c r="D13" s="41"/>
      <c r="E13" s="42"/>
      <c r="G13" s="81" t="s">
        <v>79</v>
      </c>
      <c r="H13" s="6"/>
    </row>
    <row r="14" ht="12.75" customHeight="1">
      <c r="A14" s="44">
        <v>12.0</v>
      </c>
      <c r="B14" s="45"/>
      <c r="C14" s="40"/>
      <c r="D14" s="41"/>
      <c r="E14" s="42"/>
    </row>
    <row r="15" ht="12.75" customHeight="1">
      <c r="A15" s="39">
        <v>13.0</v>
      </c>
      <c r="B15" s="45"/>
      <c r="C15" s="40"/>
      <c r="D15" s="41"/>
      <c r="E15" s="42"/>
    </row>
    <row r="16" ht="12.75" customHeight="1">
      <c r="A16" s="44">
        <v>14.0</v>
      </c>
      <c r="B16" s="45"/>
      <c r="C16" s="40"/>
      <c r="D16" s="41"/>
      <c r="E16" s="42"/>
    </row>
    <row r="17" ht="12.75" customHeight="1">
      <c r="A17" s="39"/>
      <c r="B17" s="40"/>
      <c r="C17" s="40"/>
      <c r="D17" s="41"/>
      <c r="E17" s="42"/>
      <c r="G17" s="74" t="s">
        <v>86</v>
      </c>
    </row>
    <row r="18" ht="12.75" customHeight="1">
      <c r="A18" s="39"/>
      <c r="B18" s="35"/>
      <c r="C18" s="40"/>
      <c r="D18" s="41"/>
      <c r="E18" s="42"/>
    </row>
    <row r="19" ht="12.75" customHeight="1">
      <c r="A19" s="55"/>
      <c r="B19" s="56"/>
      <c r="C19" s="56"/>
      <c r="D19" s="41"/>
      <c r="E19" s="57"/>
    </row>
    <row r="20" ht="12.75" customHeight="1">
      <c r="A20" s="39"/>
      <c r="B20" s="40"/>
      <c r="C20" s="40"/>
      <c r="D20" s="41"/>
      <c r="E20" s="42"/>
    </row>
    <row r="21" ht="12.75" customHeight="1">
      <c r="A21" s="39"/>
      <c r="B21" s="40"/>
      <c r="C21" s="40"/>
      <c r="D21" s="41"/>
      <c r="E21" s="42"/>
    </row>
    <row r="22" ht="12.75" customHeight="1">
      <c r="A22" s="39"/>
      <c r="B22" s="40"/>
      <c r="C22" s="40"/>
      <c r="D22" s="41"/>
      <c r="E22" s="42"/>
    </row>
    <row r="23" ht="12.75" customHeight="1">
      <c r="A23" s="39"/>
      <c r="B23" s="40"/>
      <c r="C23" s="40"/>
      <c r="D23" s="41"/>
      <c r="E23" s="42"/>
    </row>
    <row r="24" ht="12.75" customHeight="1">
      <c r="A24" s="39"/>
      <c r="B24" s="45"/>
      <c r="C24" s="40"/>
      <c r="D24" s="41"/>
      <c r="E24" s="42"/>
    </row>
    <row r="25" ht="12.75" customHeight="1">
      <c r="A25" s="39"/>
      <c r="B25" s="40"/>
      <c r="C25" s="40"/>
      <c r="D25" s="41"/>
      <c r="E25" s="42"/>
    </row>
    <row r="26" ht="12.75" customHeight="1">
      <c r="A26" s="39"/>
      <c r="B26" s="40"/>
      <c r="C26" s="40"/>
      <c r="D26" s="41"/>
      <c r="E26" s="42"/>
    </row>
    <row r="27" ht="12.75" customHeight="1">
      <c r="A27" s="58"/>
      <c r="B27" s="40"/>
      <c r="C27" s="40"/>
      <c r="D27" s="41"/>
      <c r="E27" s="42"/>
    </row>
    <row r="28" ht="12.75" customHeight="1">
      <c r="A28" s="39"/>
      <c r="B28" s="40"/>
      <c r="C28" s="40"/>
      <c r="D28" s="41"/>
      <c r="E28" s="42"/>
    </row>
    <row r="29" ht="12.75" customHeight="1">
      <c r="A29" s="39"/>
      <c r="B29" s="40"/>
      <c r="C29" s="40"/>
      <c r="D29" s="41"/>
      <c r="E29" s="42"/>
    </row>
    <row r="30" ht="12.75" customHeight="1">
      <c r="A30" s="39"/>
      <c r="B30" s="40"/>
      <c r="C30" s="40"/>
      <c r="D30" s="41"/>
      <c r="E30" s="42"/>
    </row>
    <row r="31" ht="12.75" customHeight="1">
      <c r="A31" s="39"/>
      <c r="B31" s="40"/>
      <c r="C31" s="40"/>
      <c r="D31" s="41"/>
      <c r="E31" s="42"/>
    </row>
    <row r="32" ht="12.75" customHeight="1">
      <c r="A32" s="58"/>
      <c r="B32" s="59"/>
      <c r="C32" s="40"/>
      <c r="D32" s="41"/>
      <c r="E32" s="42"/>
    </row>
    <row r="33" ht="12.75" customHeight="1">
      <c r="A33" s="39"/>
      <c r="B33" s="60"/>
      <c r="C33" s="40"/>
      <c r="D33" s="41"/>
      <c r="E33" s="42"/>
    </row>
    <row r="34" ht="12.75" customHeight="1">
      <c r="A34" s="39"/>
      <c r="B34" s="61"/>
      <c r="C34" s="40"/>
      <c r="D34" s="41"/>
      <c r="E34" s="42"/>
    </row>
    <row r="35" ht="12.75" customHeight="1">
      <c r="A35" s="39"/>
      <c r="B35" s="40"/>
      <c r="C35" s="40"/>
      <c r="D35" s="41"/>
      <c r="E35" s="42"/>
    </row>
    <row r="36" ht="12.75" customHeight="1">
      <c r="A36" s="39"/>
      <c r="B36" s="40"/>
      <c r="C36" s="40"/>
      <c r="D36" s="41"/>
      <c r="E36" s="42"/>
    </row>
    <row r="37" ht="12.75" customHeight="1">
      <c r="A37" s="39"/>
      <c r="B37" s="40"/>
      <c r="C37" s="40"/>
      <c r="D37" s="41"/>
      <c r="E37" s="42"/>
    </row>
    <row r="38" ht="12.75" customHeight="1">
      <c r="A38" s="39"/>
      <c r="B38" s="40"/>
      <c r="C38" s="40"/>
      <c r="D38" s="41"/>
      <c r="E38" s="42"/>
    </row>
    <row r="39" ht="12.75" customHeight="1">
      <c r="A39" s="39"/>
      <c r="B39" s="40"/>
      <c r="C39" s="40"/>
      <c r="D39" s="41"/>
      <c r="E39" s="42"/>
    </row>
    <row r="40" ht="12.75" customHeight="1">
      <c r="A40" s="39"/>
      <c r="B40" s="40"/>
      <c r="C40" s="40"/>
      <c r="D40" s="41"/>
      <c r="E40" s="42"/>
    </row>
    <row r="41" ht="12.75" customHeight="1">
      <c r="A41" s="39"/>
      <c r="B41" s="40"/>
      <c r="C41" s="40"/>
      <c r="D41" s="41"/>
      <c r="E41" s="42"/>
    </row>
    <row r="42" ht="12.75" customHeight="1">
      <c r="A42" s="39"/>
      <c r="B42" s="61"/>
      <c r="C42" s="40"/>
      <c r="D42" s="41"/>
      <c r="E42" s="42"/>
    </row>
    <row r="43" ht="12.75" customHeight="1">
      <c r="A43" s="39"/>
      <c r="B43" s="61"/>
      <c r="C43" s="40"/>
      <c r="D43" s="41"/>
      <c r="E43" s="42"/>
    </row>
    <row r="44" ht="12.75" customHeight="1">
      <c r="A44" s="39"/>
      <c r="B44" s="40"/>
      <c r="C44" s="40"/>
      <c r="D44" s="41"/>
      <c r="E44" s="42"/>
    </row>
    <row r="45" ht="12.75" customHeight="1">
      <c r="A45" s="39"/>
      <c r="B45" s="40"/>
      <c r="C45" s="40"/>
      <c r="D45" s="41"/>
      <c r="E45" s="42"/>
    </row>
    <row r="46" ht="12.75" customHeight="1">
      <c r="A46" s="39"/>
      <c r="B46" s="40"/>
      <c r="C46" s="40"/>
      <c r="D46" s="41"/>
      <c r="E46" s="42"/>
    </row>
    <row r="47" ht="12.75" customHeight="1">
      <c r="A47" s="39"/>
      <c r="B47" s="40"/>
      <c r="C47" s="40"/>
      <c r="D47" s="41"/>
      <c r="E47" s="42"/>
    </row>
    <row r="48" ht="12.75" customHeight="1">
      <c r="A48" s="39"/>
      <c r="B48" s="40"/>
      <c r="C48" s="40"/>
      <c r="D48" s="41"/>
      <c r="E48" s="42"/>
    </row>
    <row r="49" ht="12.75" customHeight="1">
      <c r="A49" s="58"/>
      <c r="B49" s="40"/>
      <c r="C49" s="40"/>
      <c r="D49" s="41"/>
      <c r="E49" s="42"/>
    </row>
    <row r="50" ht="12.75" customHeight="1">
      <c r="A50" s="39"/>
      <c r="B50" s="40"/>
      <c r="C50" s="40"/>
      <c r="D50" s="41"/>
      <c r="E50" s="42"/>
    </row>
    <row r="51" ht="12.75" customHeight="1">
      <c r="A51" s="39"/>
      <c r="B51" s="40"/>
      <c r="C51" s="40"/>
      <c r="D51" s="41"/>
      <c r="E51" s="42"/>
    </row>
    <row r="52" ht="12.75" customHeight="1">
      <c r="A52" s="39"/>
      <c r="B52" s="40"/>
      <c r="C52" s="40"/>
      <c r="D52" s="41"/>
      <c r="E52" s="42"/>
    </row>
    <row r="53" ht="12.75" customHeight="1">
      <c r="A53" s="39"/>
      <c r="B53" s="40"/>
      <c r="C53" s="40"/>
      <c r="D53" s="41"/>
      <c r="E53" s="42"/>
    </row>
    <row r="54" ht="12.75" customHeight="1">
      <c r="A54" s="39"/>
      <c r="B54" s="40"/>
      <c r="C54" s="40"/>
      <c r="D54" s="41"/>
      <c r="E54" s="42"/>
    </row>
    <row r="55" ht="12.75" customHeight="1">
      <c r="A55" s="58"/>
      <c r="B55" s="40"/>
      <c r="C55" s="40"/>
      <c r="D55" s="41"/>
      <c r="E55" s="42"/>
    </row>
    <row r="56" ht="12.75" customHeight="1">
      <c r="A56" s="58"/>
      <c r="B56" s="40"/>
      <c r="C56" s="40"/>
      <c r="D56" s="41"/>
      <c r="E56" s="42"/>
    </row>
    <row r="57" ht="12.75" customHeight="1">
      <c r="A57" s="39"/>
      <c r="B57" s="40"/>
      <c r="C57" s="40"/>
      <c r="D57" s="41"/>
      <c r="E57" s="42"/>
    </row>
    <row r="58" ht="12.75" customHeight="1">
      <c r="A58" s="39"/>
      <c r="B58" s="40"/>
      <c r="C58" s="40"/>
      <c r="D58" s="41"/>
      <c r="E58" s="42"/>
    </row>
    <row r="59" ht="12.75" customHeight="1">
      <c r="A59" s="39"/>
      <c r="B59" s="40"/>
      <c r="C59" s="40"/>
      <c r="D59" s="41"/>
      <c r="E59" s="42"/>
    </row>
    <row r="60" ht="12.75" customHeight="1">
      <c r="A60" s="39"/>
      <c r="B60" s="40"/>
      <c r="C60" s="40"/>
      <c r="D60" s="41"/>
      <c r="E60" s="42"/>
    </row>
    <row r="61" ht="12.75" customHeight="1">
      <c r="A61" s="39"/>
      <c r="B61" s="40"/>
      <c r="C61" s="40"/>
      <c r="D61" s="41"/>
      <c r="E61" s="42"/>
    </row>
    <row r="62" ht="12.75" customHeight="1">
      <c r="A62" s="62"/>
      <c r="B62" s="40"/>
      <c r="C62" s="40"/>
      <c r="D62" s="41"/>
      <c r="E62" s="42"/>
    </row>
    <row r="63" ht="12.75" customHeight="1">
      <c r="A63" s="39"/>
      <c r="B63" s="40"/>
      <c r="C63" s="40"/>
      <c r="D63" s="41"/>
      <c r="E63" s="42"/>
    </row>
    <row r="64" ht="12.75" customHeight="1">
      <c r="A64" s="39"/>
      <c r="B64" s="40"/>
      <c r="C64" s="40"/>
      <c r="D64" s="41"/>
      <c r="E64" s="42"/>
    </row>
    <row r="65" ht="12.75" customHeight="1">
      <c r="A65" s="39"/>
      <c r="B65" s="40"/>
      <c r="C65" s="40"/>
      <c r="D65" s="41"/>
      <c r="E65" s="42"/>
    </row>
    <row r="66" ht="12.75" customHeight="1">
      <c r="A66" s="39"/>
      <c r="B66" s="40"/>
      <c r="C66" s="40"/>
      <c r="D66" s="41"/>
      <c r="E66" s="42"/>
    </row>
    <row r="67" ht="12.75" customHeight="1">
      <c r="A67" s="39"/>
      <c r="B67" s="40"/>
      <c r="C67" s="40"/>
      <c r="D67" s="41"/>
      <c r="E67" s="42"/>
    </row>
    <row r="68" ht="12.75" customHeight="1">
      <c r="A68" s="39"/>
      <c r="B68" s="40"/>
      <c r="C68" s="40"/>
      <c r="D68" s="41"/>
      <c r="E68" s="42"/>
    </row>
    <row r="69" ht="12.75" customHeight="1">
      <c r="A69" s="39"/>
      <c r="B69" s="40"/>
      <c r="C69" s="40"/>
      <c r="D69" s="41"/>
      <c r="E69" s="42"/>
    </row>
    <row r="70" ht="12.75" customHeight="1">
      <c r="A70" s="39"/>
      <c r="B70" s="40"/>
      <c r="C70" s="40"/>
      <c r="D70" s="41"/>
      <c r="E70" s="42"/>
    </row>
    <row r="71" ht="12.75" customHeight="1">
      <c r="A71" s="58"/>
      <c r="B71" s="40"/>
      <c r="C71" s="40"/>
      <c r="D71" s="41"/>
      <c r="E71" s="42"/>
    </row>
    <row r="72" ht="12.75" customHeight="1">
      <c r="A72" s="58"/>
      <c r="B72" s="40"/>
      <c r="C72" s="40"/>
      <c r="D72" s="41"/>
      <c r="E72" s="42"/>
    </row>
    <row r="73" ht="12.75" customHeight="1">
      <c r="A73" s="39"/>
      <c r="B73" s="40"/>
      <c r="C73" s="40"/>
      <c r="D73" s="41"/>
      <c r="E73" s="42"/>
    </row>
    <row r="74" ht="12.75" customHeight="1">
      <c r="A74" s="39"/>
      <c r="B74" s="40"/>
      <c r="C74" s="40"/>
      <c r="D74" s="41"/>
      <c r="E74" s="42"/>
    </row>
    <row r="75" ht="12.75" customHeight="1">
      <c r="A75" s="39"/>
      <c r="B75" s="40"/>
      <c r="C75" s="40"/>
      <c r="D75" s="41"/>
      <c r="E75" s="42"/>
    </row>
    <row r="76" ht="12.75" customHeight="1">
      <c r="A76" s="39"/>
      <c r="B76" s="40"/>
      <c r="C76" s="40"/>
      <c r="D76" s="41"/>
      <c r="E76" s="42"/>
    </row>
    <row r="77" ht="12.75" customHeight="1">
      <c r="A77" s="39"/>
      <c r="B77" s="40"/>
      <c r="C77" s="40"/>
      <c r="D77" s="41"/>
      <c r="E77" s="42"/>
    </row>
    <row r="78" ht="12.75" customHeight="1">
      <c r="A78" s="39"/>
      <c r="B78" s="40"/>
      <c r="C78" s="40"/>
      <c r="D78" s="41"/>
      <c r="E78" s="42"/>
    </row>
    <row r="79" ht="12.75" customHeight="1">
      <c r="A79" s="39"/>
      <c r="B79" s="40"/>
      <c r="C79" s="40"/>
      <c r="D79" s="41"/>
      <c r="E79" s="42"/>
    </row>
    <row r="80" ht="12.75" customHeight="1">
      <c r="A80" s="39"/>
      <c r="B80" s="40"/>
      <c r="C80" s="40"/>
      <c r="D80" s="41"/>
      <c r="E80" s="42"/>
    </row>
    <row r="81" ht="12.75" customHeight="1">
      <c r="A81" s="39"/>
      <c r="B81" s="40"/>
      <c r="C81" s="40"/>
      <c r="D81" s="41"/>
      <c r="E81" s="42"/>
    </row>
    <row r="82" ht="12.75" customHeight="1">
      <c r="A82" s="39"/>
      <c r="B82" s="40"/>
      <c r="C82" s="40"/>
      <c r="D82" s="41"/>
      <c r="E82" s="42"/>
    </row>
    <row r="83" ht="12.75" customHeight="1">
      <c r="A83" s="39"/>
      <c r="B83" s="40"/>
      <c r="C83" s="40"/>
      <c r="D83" s="41"/>
      <c r="E83" s="42"/>
    </row>
    <row r="84" ht="12.75" customHeight="1">
      <c r="A84" s="39"/>
      <c r="B84" s="40"/>
      <c r="C84" s="40"/>
      <c r="D84" s="41"/>
      <c r="E84" s="42"/>
    </row>
    <row r="85" ht="12.75" customHeight="1">
      <c r="A85" s="39"/>
      <c r="B85" s="40"/>
      <c r="C85" s="40"/>
      <c r="D85" s="41"/>
      <c r="E85" s="42"/>
    </row>
    <row r="86" ht="12.75" customHeight="1">
      <c r="A86" s="39"/>
      <c r="B86" s="40"/>
      <c r="C86" s="40"/>
      <c r="D86" s="41"/>
      <c r="E86" s="42"/>
    </row>
    <row r="87" ht="12.75" customHeight="1">
      <c r="A87" s="39"/>
      <c r="B87" s="40"/>
      <c r="C87" s="40"/>
      <c r="D87" s="41"/>
      <c r="E87" s="42"/>
    </row>
    <row r="88" ht="12.75" customHeight="1">
      <c r="A88" s="39"/>
      <c r="B88" s="40"/>
      <c r="C88" s="40"/>
      <c r="D88" s="41"/>
      <c r="E88" s="42"/>
    </row>
    <row r="89" ht="12.75" customHeight="1">
      <c r="A89" s="39"/>
      <c r="B89" s="40"/>
      <c r="C89" s="40"/>
      <c r="D89" s="41"/>
      <c r="E89" s="42"/>
    </row>
    <row r="90" ht="12.75" customHeight="1">
      <c r="A90" s="39"/>
      <c r="B90" s="40"/>
      <c r="C90" s="40"/>
      <c r="D90" s="41"/>
      <c r="E90" s="42"/>
    </row>
    <row r="91" ht="12.75" customHeight="1">
      <c r="A91" s="39"/>
      <c r="B91" s="40"/>
      <c r="C91" s="40"/>
      <c r="D91" s="41"/>
      <c r="E91" s="42"/>
    </row>
    <row r="92" ht="12.75" customHeight="1">
      <c r="A92" s="39"/>
      <c r="B92" s="40"/>
      <c r="C92" s="40"/>
      <c r="D92" s="41"/>
      <c r="E92" s="42"/>
    </row>
    <row r="93" ht="12.75" customHeight="1">
      <c r="A93" s="39"/>
      <c r="B93" s="40"/>
      <c r="C93" s="40"/>
      <c r="D93" s="41"/>
      <c r="E93" s="42"/>
    </row>
    <row r="94" ht="12.75" customHeight="1">
      <c r="A94" s="39"/>
      <c r="B94" s="40"/>
      <c r="C94" s="40"/>
      <c r="D94" s="41"/>
      <c r="E94" s="42"/>
    </row>
    <row r="95" ht="12.75" customHeight="1">
      <c r="A95" s="39"/>
      <c r="B95" s="40"/>
      <c r="C95" s="40"/>
      <c r="D95" s="41"/>
      <c r="E95" s="42"/>
    </row>
    <row r="96" ht="12.75" customHeight="1">
      <c r="A96" s="39"/>
      <c r="B96" s="40"/>
      <c r="C96" s="40"/>
      <c r="D96" s="41"/>
      <c r="E96" s="42"/>
    </row>
    <row r="97" ht="12.75" customHeight="1">
      <c r="A97" s="39"/>
      <c r="B97" s="40"/>
      <c r="C97" s="40"/>
      <c r="D97" s="41"/>
      <c r="E97" s="42"/>
    </row>
    <row r="98" ht="12.75" customHeight="1">
      <c r="A98" s="39"/>
      <c r="B98" s="40"/>
      <c r="C98" s="40"/>
      <c r="D98" s="41"/>
      <c r="E98" s="42"/>
    </row>
    <row r="99" ht="12.75" customHeight="1">
      <c r="A99" s="39"/>
      <c r="B99" s="40"/>
      <c r="C99" s="40"/>
      <c r="D99" s="41"/>
      <c r="E99" s="42"/>
    </row>
    <row r="100" ht="12.75" customHeight="1">
      <c r="A100" s="39"/>
      <c r="B100" s="40"/>
      <c r="C100" s="40"/>
      <c r="D100" s="41"/>
      <c r="E100" s="42"/>
    </row>
    <row r="101" ht="12.75" customHeight="1">
      <c r="A101" s="39"/>
      <c r="B101" s="40"/>
      <c r="C101" s="40"/>
      <c r="D101" s="41"/>
      <c r="E101" s="42"/>
    </row>
    <row r="102" ht="12.75" customHeight="1">
      <c r="A102" s="39"/>
      <c r="B102" s="40"/>
      <c r="C102" s="40"/>
      <c r="D102" s="41"/>
      <c r="E102" s="42"/>
    </row>
    <row r="103" ht="12.75" customHeight="1">
      <c r="A103" s="39"/>
      <c r="B103" s="40"/>
      <c r="C103" s="40"/>
      <c r="D103" s="41"/>
      <c r="E103" s="42"/>
    </row>
    <row r="104" ht="12.75" customHeight="1">
      <c r="A104" s="39"/>
      <c r="B104" s="40"/>
      <c r="C104" s="40"/>
      <c r="D104" s="41"/>
      <c r="E104" s="42"/>
    </row>
    <row r="105" ht="12.75" customHeight="1">
      <c r="A105" s="39"/>
      <c r="B105" s="40"/>
      <c r="C105" s="40"/>
      <c r="D105" s="41"/>
      <c r="E105" s="42"/>
    </row>
    <row r="106" ht="12.75" customHeight="1">
      <c r="A106" s="39"/>
      <c r="B106" s="40"/>
      <c r="C106" s="40"/>
      <c r="D106" s="41"/>
      <c r="E106" s="42"/>
    </row>
    <row r="107" ht="12.75" customHeight="1">
      <c r="A107" s="39"/>
      <c r="B107" s="40"/>
      <c r="C107" s="40"/>
      <c r="D107" s="41"/>
      <c r="E107" s="42"/>
    </row>
    <row r="108" ht="12.75" customHeight="1">
      <c r="A108" s="39"/>
      <c r="B108" s="40"/>
      <c r="C108" s="40"/>
      <c r="D108" s="41"/>
      <c r="E108" s="42"/>
    </row>
    <row r="109" ht="12.75" customHeight="1">
      <c r="A109" s="39"/>
      <c r="B109" s="40"/>
      <c r="C109" s="40"/>
      <c r="D109" s="41"/>
      <c r="E109" s="42"/>
    </row>
    <row r="110" ht="12.75" customHeight="1">
      <c r="A110" s="39"/>
      <c r="B110" s="40"/>
      <c r="C110" s="40"/>
      <c r="D110" s="41"/>
      <c r="E110" s="42"/>
    </row>
    <row r="111" ht="12.75" customHeight="1">
      <c r="A111" s="39"/>
      <c r="B111" s="40"/>
      <c r="C111" s="40"/>
      <c r="D111" s="41"/>
      <c r="E111" s="42"/>
    </row>
    <row r="112" ht="12.75" customHeight="1">
      <c r="A112" s="39"/>
      <c r="B112" s="40"/>
      <c r="C112" s="40"/>
      <c r="D112" s="41"/>
      <c r="E112" s="42"/>
    </row>
    <row r="113" ht="12.75" customHeight="1">
      <c r="A113" s="39"/>
      <c r="B113" s="40"/>
      <c r="C113" s="40"/>
      <c r="D113" s="41"/>
      <c r="E113" s="42"/>
    </row>
    <row r="114" ht="12.75" customHeight="1">
      <c r="A114" s="39"/>
      <c r="B114" s="40"/>
      <c r="C114" s="40"/>
      <c r="D114" s="41"/>
      <c r="E114" s="42"/>
    </row>
    <row r="115" ht="12.75" customHeight="1">
      <c r="A115" s="39"/>
      <c r="B115" s="40"/>
      <c r="C115" s="40"/>
      <c r="D115" s="41"/>
      <c r="E115" s="42"/>
    </row>
    <row r="116" ht="12.75" customHeight="1">
      <c r="A116" s="39"/>
      <c r="B116" s="40"/>
      <c r="C116" s="40"/>
      <c r="D116" s="41"/>
      <c r="E116" s="42"/>
    </row>
    <row r="117" ht="12.75" customHeight="1">
      <c r="A117" s="39"/>
      <c r="B117" s="40"/>
      <c r="C117" s="40"/>
      <c r="D117" s="41"/>
      <c r="E117" s="42"/>
    </row>
    <row r="118" ht="12.75" customHeight="1">
      <c r="A118" s="39"/>
      <c r="B118" s="40"/>
      <c r="C118" s="40"/>
      <c r="D118" s="41"/>
      <c r="E118" s="42"/>
    </row>
    <row r="119" ht="12.75" customHeight="1">
      <c r="A119" s="39"/>
      <c r="B119" s="40"/>
      <c r="C119" s="40"/>
      <c r="D119" s="41"/>
      <c r="E119" s="42"/>
    </row>
    <row r="120" ht="12.75" customHeight="1">
      <c r="A120" s="39"/>
      <c r="B120" s="40"/>
      <c r="C120" s="40"/>
      <c r="D120" s="41"/>
      <c r="E120" s="42"/>
    </row>
    <row r="121" ht="12.75" customHeight="1">
      <c r="A121" s="39"/>
      <c r="B121" s="40"/>
      <c r="C121" s="40"/>
      <c r="D121" s="41"/>
      <c r="E121" s="42"/>
    </row>
    <row r="122" ht="12.75" customHeight="1">
      <c r="A122" s="39"/>
      <c r="B122" s="40"/>
      <c r="C122" s="40"/>
      <c r="D122" s="41"/>
      <c r="E122" s="42"/>
    </row>
    <row r="123" ht="12.75" customHeight="1">
      <c r="A123" s="39"/>
      <c r="B123" s="40"/>
      <c r="C123" s="40"/>
      <c r="D123" s="41"/>
      <c r="E123" s="42"/>
    </row>
    <row r="124" ht="12.75" customHeight="1">
      <c r="A124" s="39"/>
      <c r="B124" s="40"/>
      <c r="C124" s="40"/>
      <c r="D124" s="41"/>
      <c r="E124" s="42"/>
    </row>
    <row r="125" ht="12.75" customHeight="1">
      <c r="A125" s="39"/>
      <c r="B125" s="40"/>
      <c r="C125" s="40"/>
      <c r="D125" s="41"/>
      <c r="E125" s="42"/>
    </row>
    <row r="126" ht="12.75" customHeight="1">
      <c r="A126" s="39"/>
      <c r="B126" s="40"/>
      <c r="C126" s="40"/>
      <c r="D126" s="41"/>
      <c r="E126" s="42"/>
    </row>
    <row r="127" ht="12.75" customHeight="1">
      <c r="A127" s="39"/>
      <c r="B127" s="40"/>
      <c r="C127" s="40"/>
      <c r="D127" s="41"/>
      <c r="E127" s="42"/>
    </row>
    <row r="128" ht="12.75" customHeight="1">
      <c r="A128" s="39"/>
      <c r="B128" s="40"/>
      <c r="C128" s="40"/>
      <c r="D128" s="41"/>
      <c r="E128" s="42"/>
    </row>
    <row r="129" ht="12.75" customHeight="1">
      <c r="A129" s="39"/>
      <c r="B129" s="40"/>
      <c r="C129" s="40"/>
      <c r="D129" s="41"/>
      <c r="E129" s="42"/>
    </row>
    <row r="130" ht="12.75" customHeight="1">
      <c r="A130" s="39"/>
      <c r="B130" s="40"/>
      <c r="C130" s="40"/>
      <c r="D130" s="41"/>
      <c r="E130" s="42"/>
    </row>
    <row r="131" ht="12.75" customHeight="1">
      <c r="A131" s="39"/>
      <c r="B131" s="40"/>
      <c r="C131" s="40"/>
      <c r="D131" s="41"/>
      <c r="E131" s="42"/>
    </row>
    <row r="132" ht="12.75" customHeight="1">
      <c r="A132" s="39"/>
      <c r="B132" s="40"/>
      <c r="C132" s="40"/>
      <c r="D132" s="41"/>
      <c r="E132" s="42"/>
    </row>
    <row r="133" ht="12.75" customHeight="1">
      <c r="A133" s="39"/>
      <c r="B133" s="40"/>
      <c r="C133" s="40"/>
      <c r="D133" s="41"/>
      <c r="E133" s="42"/>
    </row>
    <row r="134" ht="12.75" customHeight="1">
      <c r="A134" s="39"/>
      <c r="B134" s="40"/>
      <c r="C134" s="40"/>
      <c r="D134" s="41"/>
      <c r="E134" s="42"/>
    </row>
    <row r="135" ht="12.75" customHeight="1">
      <c r="A135" s="39"/>
      <c r="B135" s="40"/>
      <c r="C135" s="40"/>
      <c r="D135" s="41"/>
      <c r="E135" s="42"/>
    </row>
    <row r="136" ht="12.75" customHeight="1">
      <c r="A136" s="39"/>
      <c r="B136" s="40"/>
      <c r="C136" s="40"/>
      <c r="D136" s="41"/>
      <c r="E136" s="42"/>
    </row>
    <row r="137" ht="12.75" customHeight="1">
      <c r="A137" s="39"/>
      <c r="B137" s="40"/>
      <c r="C137" s="40"/>
      <c r="D137" s="41"/>
      <c r="E137" s="42"/>
    </row>
    <row r="138" ht="12.75" customHeight="1">
      <c r="A138" s="39"/>
      <c r="B138" s="40"/>
      <c r="C138" s="40"/>
      <c r="D138" s="41"/>
      <c r="E138" s="42"/>
    </row>
    <row r="139" ht="12.75" customHeight="1">
      <c r="A139" s="39"/>
      <c r="B139" s="40"/>
      <c r="C139" s="40"/>
      <c r="D139" s="41"/>
      <c r="E139" s="42"/>
    </row>
    <row r="140" ht="12.75" customHeight="1">
      <c r="A140" s="39"/>
      <c r="B140" s="40"/>
      <c r="C140" s="40"/>
      <c r="D140" s="41"/>
      <c r="E140" s="42"/>
    </row>
    <row r="141" ht="12.75" customHeight="1">
      <c r="A141" s="39"/>
      <c r="B141" s="40"/>
      <c r="C141" s="40"/>
      <c r="D141" s="41"/>
      <c r="E141" s="42"/>
    </row>
    <row r="142" ht="12.75" customHeight="1">
      <c r="A142" s="39"/>
      <c r="B142" s="40"/>
      <c r="C142" s="40"/>
      <c r="D142" s="41"/>
      <c r="E142" s="42"/>
    </row>
    <row r="143" ht="12.75" customHeight="1">
      <c r="A143" s="39"/>
      <c r="B143" s="40"/>
      <c r="C143" s="40"/>
      <c r="D143" s="41"/>
      <c r="E143" s="42"/>
    </row>
    <row r="144" ht="12.75" customHeight="1">
      <c r="A144" s="39"/>
      <c r="B144" s="40"/>
      <c r="C144" s="40"/>
      <c r="D144" s="41"/>
      <c r="E144" s="42"/>
    </row>
    <row r="145" ht="12.75" customHeight="1">
      <c r="A145" s="39"/>
      <c r="B145" s="40"/>
      <c r="C145" s="40"/>
      <c r="D145" s="41"/>
      <c r="E145" s="42"/>
    </row>
    <row r="146" ht="12.75" customHeight="1">
      <c r="A146" s="39"/>
      <c r="B146" s="40"/>
      <c r="C146" s="40"/>
      <c r="D146" s="41"/>
      <c r="E146" s="42"/>
    </row>
    <row r="147" ht="12.75" customHeight="1">
      <c r="A147" s="39"/>
      <c r="B147" s="40"/>
      <c r="C147" s="40"/>
      <c r="D147" s="41"/>
      <c r="E147" s="42"/>
    </row>
    <row r="148" ht="12.75" customHeight="1">
      <c r="A148" s="39"/>
      <c r="B148" s="40"/>
      <c r="C148" s="40"/>
      <c r="D148" s="41"/>
      <c r="E148" s="42"/>
    </row>
    <row r="149" ht="12.75" customHeight="1">
      <c r="A149" s="39"/>
      <c r="B149" s="40"/>
      <c r="C149" s="40"/>
      <c r="D149" s="41"/>
      <c r="E149" s="42"/>
    </row>
    <row r="150" ht="12.75" customHeight="1">
      <c r="A150" s="39"/>
      <c r="B150" s="40"/>
      <c r="C150" s="40"/>
      <c r="D150" s="41"/>
      <c r="E150" s="42"/>
    </row>
    <row r="151" ht="12.75" customHeight="1">
      <c r="A151" s="39"/>
      <c r="B151" s="40"/>
      <c r="C151" s="40"/>
      <c r="D151" s="41"/>
      <c r="E151" s="42"/>
    </row>
    <row r="152" ht="12.75" customHeight="1">
      <c r="A152" s="39"/>
      <c r="B152" s="40"/>
      <c r="C152" s="40"/>
      <c r="D152" s="41"/>
      <c r="E152" s="42"/>
    </row>
    <row r="153" ht="12.75" customHeight="1">
      <c r="A153" s="39"/>
      <c r="B153" s="40"/>
      <c r="C153" s="40"/>
      <c r="D153" s="41"/>
      <c r="E153" s="42"/>
    </row>
    <row r="154" ht="12.75" customHeight="1">
      <c r="A154" s="39"/>
      <c r="B154" s="40"/>
      <c r="C154" s="40"/>
      <c r="D154" s="41"/>
      <c r="E154" s="42"/>
    </row>
    <row r="155" ht="12.75" customHeight="1">
      <c r="A155" s="39"/>
      <c r="B155" s="40"/>
      <c r="C155" s="40"/>
      <c r="D155" s="41"/>
      <c r="E155" s="42"/>
    </row>
    <row r="156" ht="12.75" customHeight="1">
      <c r="A156" s="39"/>
      <c r="B156" s="40"/>
      <c r="C156" s="40"/>
      <c r="D156" s="41"/>
      <c r="E156" s="42"/>
    </row>
    <row r="157" ht="12.75" customHeight="1">
      <c r="A157" s="39"/>
      <c r="B157" s="40"/>
      <c r="C157" s="40"/>
      <c r="D157" s="41"/>
      <c r="E157" s="42"/>
    </row>
    <row r="158" ht="12.75" customHeight="1">
      <c r="A158" s="39"/>
      <c r="B158" s="40"/>
      <c r="C158" s="40"/>
      <c r="D158" s="41"/>
      <c r="E158" s="42"/>
    </row>
    <row r="159" ht="12.75" customHeight="1">
      <c r="A159" s="39"/>
      <c r="B159" s="40"/>
      <c r="C159" s="40"/>
      <c r="D159" s="41"/>
      <c r="E159" s="42"/>
    </row>
    <row r="160" ht="12.75" customHeight="1">
      <c r="A160" s="39"/>
      <c r="B160" s="40"/>
      <c r="C160" s="40"/>
      <c r="D160" s="41"/>
      <c r="E160" s="42"/>
    </row>
    <row r="161" ht="12.75" customHeight="1">
      <c r="A161" s="39"/>
      <c r="B161" s="40"/>
      <c r="C161" s="40"/>
      <c r="D161" s="41"/>
      <c r="E161" s="42"/>
    </row>
    <row r="162" ht="12.75" customHeight="1">
      <c r="A162" s="39"/>
      <c r="B162" s="40"/>
      <c r="C162" s="40"/>
      <c r="D162" s="41"/>
      <c r="E162" s="42"/>
    </row>
    <row r="163" ht="12.75" customHeight="1">
      <c r="A163" s="39"/>
      <c r="B163" s="40"/>
      <c r="C163" s="40"/>
      <c r="D163" s="41"/>
      <c r="E163" s="42"/>
    </row>
    <row r="164" ht="12.75" customHeight="1">
      <c r="A164" s="39"/>
      <c r="B164" s="40"/>
      <c r="C164" s="40"/>
      <c r="D164" s="41"/>
      <c r="E164" s="42"/>
    </row>
    <row r="165" ht="12.75" customHeight="1">
      <c r="A165" s="39"/>
      <c r="B165" s="40"/>
      <c r="C165" s="40"/>
      <c r="D165" s="41"/>
      <c r="E165" s="42"/>
    </row>
    <row r="166" ht="12.75" customHeight="1">
      <c r="A166" s="39"/>
      <c r="B166" s="40"/>
      <c r="C166" s="40"/>
      <c r="D166" s="41"/>
      <c r="E166" s="42"/>
    </row>
    <row r="167" ht="12.75" customHeight="1">
      <c r="A167" s="39"/>
      <c r="B167" s="40"/>
      <c r="C167" s="40"/>
      <c r="D167" s="41"/>
      <c r="E167" s="42"/>
    </row>
    <row r="168" ht="12.75" customHeight="1">
      <c r="A168" s="39"/>
      <c r="B168" s="40"/>
      <c r="C168" s="40"/>
      <c r="D168" s="41"/>
      <c r="E168" s="42"/>
    </row>
    <row r="169" ht="12.75" customHeight="1">
      <c r="A169" s="39"/>
      <c r="B169" s="40"/>
      <c r="C169" s="40"/>
      <c r="D169" s="41"/>
      <c r="E169" s="42"/>
    </row>
    <row r="170" ht="12.75" customHeight="1">
      <c r="A170" s="39"/>
      <c r="B170" s="40"/>
      <c r="C170" s="40"/>
      <c r="D170" s="41"/>
      <c r="E170" s="42"/>
    </row>
    <row r="171" ht="12.75" customHeight="1">
      <c r="A171" s="39"/>
      <c r="B171" s="40"/>
      <c r="C171" s="40"/>
      <c r="D171" s="41"/>
      <c r="E171" s="42"/>
    </row>
    <row r="172" ht="12.75" customHeight="1">
      <c r="A172" s="39"/>
      <c r="B172" s="40"/>
      <c r="C172" s="40"/>
      <c r="D172" s="41"/>
      <c r="E172" s="42"/>
    </row>
    <row r="173" ht="12.75" customHeight="1">
      <c r="A173" s="39"/>
      <c r="B173" s="40"/>
      <c r="C173" s="40"/>
      <c r="D173" s="41"/>
      <c r="E173" s="42"/>
    </row>
    <row r="174" ht="12.75" customHeight="1">
      <c r="A174" s="39"/>
      <c r="B174" s="40"/>
      <c r="C174" s="40"/>
      <c r="D174" s="41"/>
      <c r="E174" s="42"/>
    </row>
    <row r="175" ht="12.75" customHeight="1">
      <c r="A175" s="39"/>
      <c r="B175" s="40"/>
      <c r="C175" s="40"/>
      <c r="D175" s="41"/>
      <c r="E175" s="42"/>
    </row>
    <row r="176" ht="12.75" customHeight="1">
      <c r="A176" s="39"/>
      <c r="B176" s="40"/>
      <c r="C176" s="40"/>
      <c r="D176" s="41"/>
      <c r="E176" s="42"/>
    </row>
    <row r="177" ht="12.75" customHeight="1">
      <c r="A177" s="39"/>
      <c r="B177" s="40"/>
      <c r="C177" s="40"/>
      <c r="D177" s="41"/>
      <c r="E177" s="42"/>
    </row>
    <row r="178" ht="12.75" customHeight="1">
      <c r="A178" s="39"/>
      <c r="B178" s="40"/>
      <c r="C178" s="40"/>
      <c r="D178" s="41"/>
      <c r="E178" s="42"/>
    </row>
    <row r="179" ht="12.75" customHeight="1">
      <c r="A179" s="39"/>
      <c r="B179" s="40"/>
      <c r="C179" s="40"/>
      <c r="D179" s="41"/>
      <c r="E179" s="42"/>
    </row>
    <row r="180" ht="12.75" customHeight="1">
      <c r="A180" s="39"/>
      <c r="B180" s="40"/>
      <c r="C180" s="40"/>
      <c r="D180" s="41"/>
      <c r="E180" s="42"/>
    </row>
    <row r="181" ht="12.75" customHeight="1">
      <c r="A181" s="39"/>
      <c r="B181" s="40"/>
      <c r="C181" s="40"/>
      <c r="D181" s="41"/>
      <c r="E181" s="42"/>
    </row>
    <row r="182" ht="12.75" customHeight="1">
      <c r="A182" s="39"/>
      <c r="B182" s="40"/>
      <c r="C182" s="40"/>
      <c r="D182" s="41"/>
      <c r="E182" s="42"/>
    </row>
    <row r="183" ht="12.75" customHeight="1">
      <c r="A183" s="39"/>
      <c r="B183" s="40"/>
      <c r="C183" s="40"/>
      <c r="D183" s="41"/>
      <c r="E183" s="42"/>
    </row>
    <row r="184" ht="12.75" customHeight="1">
      <c r="A184" s="39"/>
      <c r="B184" s="40"/>
      <c r="C184" s="40"/>
      <c r="D184" s="41"/>
      <c r="E184" s="42"/>
    </row>
    <row r="185" ht="12.75" customHeight="1">
      <c r="A185" s="39"/>
      <c r="B185" s="40"/>
      <c r="C185" s="40"/>
      <c r="D185" s="41"/>
      <c r="E185" s="42"/>
    </row>
    <row r="186" ht="12.75" customHeight="1">
      <c r="A186" s="39"/>
      <c r="B186" s="40"/>
      <c r="C186" s="40"/>
      <c r="D186" s="41"/>
      <c r="E186" s="42"/>
    </row>
    <row r="187" ht="12.75" customHeight="1">
      <c r="A187" s="39"/>
      <c r="B187" s="40"/>
      <c r="C187" s="40"/>
      <c r="D187" s="41"/>
      <c r="E187" s="42"/>
    </row>
    <row r="188" ht="12.75" customHeight="1">
      <c r="A188" s="39"/>
      <c r="B188" s="40"/>
      <c r="C188" s="40"/>
      <c r="D188" s="41"/>
      <c r="E188" s="42"/>
    </row>
    <row r="189" ht="12.75" customHeight="1">
      <c r="A189" s="39"/>
      <c r="B189" s="40"/>
      <c r="C189" s="40"/>
      <c r="D189" s="41"/>
      <c r="E189" s="42"/>
    </row>
    <row r="190" ht="12.75" customHeight="1">
      <c r="A190" s="39"/>
      <c r="B190" s="40"/>
      <c r="C190" s="40"/>
      <c r="D190" s="41"/>
      <c r="E190" s="42"/>
    </row>
    <row r="191" ht="12.75" customHeight="1">
      <c r="A191" s="39"/>
      <c r="B191" s="40"/>
      <c r="C191" s="40"/>
      <c r="D191" s="41"/>
      <c r="E191" s="42"/>
    </row>
    <row r="192" ht="12.75" customHeight="1">
      <c r="A192" s="39"/>
      <c r="B192" s="40"/>
      <c r="C192" s="40"/>
      <c r="D192" s="41"/>
      <c r="E192" s="42"/>
    </row>
    <row r="193" ht="12.75" customHeight="1">
      <c r="A193" s="39"/>
      <c r="B193" s="40"/>
      <c r="C193" s="40"/>
      <c r="D193" s="41"/>
      <c r="E193" s="42"/>
    </row>
    <row r="194" ht="12.75" customHeight="1">
      <c r="A194" s="39"/>
      <c r="B194" s="40"/>
      <c r="C194" s="40"/>
      <c r="D194" s="41"/>
      <c r="E194" s="42"/>
    </row>
    <row r="195" ht="12.75" customHeight="1">
      <c r="A195" s="39"/>
      <c r="B195" s="40"/>
      <c r="C195" s="40"/>
      <c r="D195" s="41"/>
      <c r="E195" s="42"/>
    </row>
    <row r="196" ht="12.75" customHeight="1">
      <c r="A196" s="39"/>
      <c r="B196" s="40"/>
      <c r="C196" s="40"/>
      <c r="D196" s="41"/>
      <c r="E196" s="42"/>
    </row>
    <row r="197" ht="12.75" customHeight="1">
      <c r="A197" s="39"/>
      <c r="B197" s="40"/>
      <c r="C197" s="40"/>
      <c r="D197" s="41"/>
      <c r="E197" s="42"/>
    </row>
    <row r="198" ht="12.75" customHeight="1">
      <c r="A198" s="39"/>
      <c r="B198" s="40"/>
      <c r="C198" s="40"/>
      <c r="D198" s="41"/>
      <c r="E198" s="42"/>
    </row>
    <row r="199" ht="12.75" customHeight="1">
      <c r="A199" s="39"/>
      <c r="B199" s="40"/>
      <c r="C199" s="40"/>
      <c r="D199" s="41"/>
      <c r="E199" s="42"/>
    </row>
    <row r="200" ht="12.75" customHeight="1">
      <c r="A200" s="39"/>
      <c r="B200" s="40"/>
      <c r="C200" s="40"/>
      <c r="D200" s="41"/>
      <c r="E200" s="42"/>
    </row>
    <row r="201" ht="12.75" customHeight="1">
      <c r="A201" s="39"/>
      <c r="B201" s="40"/>
      <c r="C201" s="40"/>
      <c r="D201" s="41"/>
      <c r="E201" s="42"/>
    </row>
    <row r="202" ht="12.75" customHeight="1">
      <c r="A202" s="39"/>
      <c r="B202" s="40"/>
      <c r="C202" s="40"/>
      <c r="D202" s="41"/>
      <c r="E202" s="42"/>
    </row>
    <row r="203" ht="12.75" customHeight="1">
      <c r="A203" s="39"/>
      <c r="B203" s="40"/>
      <c r="C203" s="40"/>
      <c r="D203" s="41"/>
      <c r="E203" s="42"/>
    </row>
    <row r="204" ht="12.75" customHeight="1">
      <c r="A204" s="39"/>
      <c r="B204" s="40"/>
      <c r="C204" s="40"/>
      <c r="D204" s="41"/>
      <c r="E204" s="42"/>
    </row>
    <row r="205" ht="12.75" customHeight="1">
      <c r="A205" s="39"/>
      <c r="B205" s="40"/>
      <c r="C205" s="40"/>
      <c r="D205" s="41"/>
      <c r="E205" s="42"/>
    </row>
    <row r="206" ht="12.75" customHeight="1">
      <c r="A206" s="39"/>
      <c r="B206" s="40"/>
      <c r="C206" s="40"/>
      <c r="D206" s="41"/>
      <c r="E206" s="42"/>
    </row>
    <row r="207" ht="12.75" customHeight="1">
      <c r="A207" s="39"/>
      <c r="B207" s="40"/>
      <c r="C207" s="40"/>
      <c r="D207" s="41"/>
      <c r="E207" s="42"/>
    </row>
    <row r="208" ht="12.75" customHeight="1">
      <c r="A208" s="39"/>
      <c r="B208" s="40"/>
      <c r="C208" s="40"/>
      <c r="D208" s="41"/>
      <c r="E208" s="42"/>
    </row>
    <row r="209" ht="12.75" customHeight="1">
      <c r="A209" s="39"/>
      <c r="B209" s="40"/>
      <c r="C209" s="40"/>
      <c r="D209" s="41"/>
      <c r="E209" s="42"/>
    </row>
    <row r="210" ht="12.75" customHeight="1">
      <c r="A210" s="39"/>
      <c r="B210" s="40"/>
      <c r="C210" s="40"/>
      <c r="D210" s="41"/>
      <c r="E210" s="42"/>
    </row>
    <row r="211" ht="12.75" customHeight="1">
      <c r="A211" s="39"/>
      <c r="B211" s="40"/>
      <c r="C211" s="40"/>
      <c r="D211" s="41"/>
      <c r="E211" s="42"/>
    </row>
    <row r="212" ht="12.75" customHeight="1">
      <c r="A212" s="39"/>
      <c r="B212" s="40"/>
      <c r="C212" s="40"/>
      <c r="D212" s="41"/>
      <c r="E212" s="42"/>
    </row>
    <row r="213" ht="12.75" customHeight="1">
      <c r="A213" s="39"/>
      <c r="B213" s="40"/>
      <c r="C213" s="40"/>
      <c r="D213" s="41"/>
      <c r="E213" s="42"/>
    </row>
    <row r="214" ht="12.75" customHeight="1">
      <c r="A214" s="39"/>
      <c r="B214" s="40"/>
      <c r="C214" s="40"/>
      <c r="D214" s="41"/>
      <c r="E214" s="42"/>
    </row>
    <row r="215" ht="12.75" customHeight="1">
      <c r="A215" s="39"/>
      <c r="B215" s="40"/>
      <c r="C215" s="40"/>
      <c r="D215" s="41"/>
      <c r="E215" s="42"/>
    </row>
    <row r="216" ht="12.75" customHeight="1">
      <c r="A216" s="39"/>
      <c r="B216" s="40"/>
      <c r="C216" s="40"/>
      <c r="D216" s="41"/>
      <c r="E216" s="42"/>
    </row>
    <row r="217" ht="12.75" customHeight="1">
      <c r="A217" s="39"/>
      <c r="B217" s="40"/>
      <c r="C217" s="40"/>
      <c r="D217" s="41"/>
      <c r="E217" s="42"/>
    </row>
    <row r="218" ht="12.75" customHeight="1">
      <c r="A218" s="39"/>
      <c r="B218" s="40"/>
      <c r="C218" s="40"/>
      <c r="D218" s="41"/>
      <c r="E218" s="42"/>
    </row>
    <row r="219" ht="12.75" customHeight="1">
      <c r="A219" s="39"/>
      <c r="B219" s="40"/>
      <c r="C219" s="40"/>
      <c r="D219" s="41"/>
      <c r="E219" s="42"/>
    </row>
    <row r="220" ht="12.75" customHeight="1">
      <c r="A220" s="39"/>
      <c r="B220" s="40"/>
      <c r="C220" s="40"/>
      <c r="D220" s="41"/>
      <c r="E220" s="42"/>
    </row>
    <row r="221" ht="12.75" customHeight="1">
      <c r="A221" s="39"/>
      <c r="B221" s="40"/>
      <c r="C221" s="40"/>
      <c r="D221" s="41"/>
      <c r="E221" s="42"/>
    </row>
    <row r="222" ht="12.75" customHeight="1">
      <c r="A222" s="39"/>
      <c r="B222" s="40"/>
      <c r="C222" s="40"/>
      <c r="D222" s="41"/>
      <c r="E222" s="42"/>
    </row>
    <row r="223" ht="12.75" customHeight="1">
      <c r="A223" s="39"/>
      <c r="B223" s="40"/>
      <c r="C223" s="40"/>
      <c r="D223" s="41"/>
      <c r="E223" s="42"/>
    </row>
    <row r="224" ht="12.75" customHeight="1">
      <c r="A224" s="39"/>
      <c r="B224" s="40"/>
      <c r="C224" s="40"/>
      <c r="D224" s="41"/>
      <c r="E224" s="42"/>
    </row>
    <row r="225" ht="12.75" customHeight="1">
      <c r="A225" s="39"/>
      <c r="B225" s="40"/>
      <c r="C225" s="40"/>
      <c r="D225" s="41"/>
      <c r="E225" s="42"/>
    </row>
    <row r="226" ht="12.75" customHeight="1">
      <c r="A226" s="63"/>
      <c r="B226" s="64"/>
      <c r="C226" s="35"/>
      <c r="D226" s="41"/>
      <c r="E226" s="35"/>
    </row>
    <row r="227" ht="12.75" customHeight="1">
      <c r="A227" s="63"/>
      <c r="B227" s="64"/>
      <c r="C227" s="35"/>
      <c r="D227" s="41"/>
      <c r="E227" s="35"/>
    </row>
    <row r="228" ht="12.75" customHeight="1">
      <c r="A228" s="63"/>
      <c r="B228" s="64"/>
      <c r="C228" s="35"/>
      <c r="D228" s="41"/>
      <c r="E228" s="35"/>
    </row>
    <row r="229" ht="12.75" customHeight="1">
      <c r="A229" s="63"/>
      <c r="B229" s="64"/>
      <c r="C229" s="35"/>
      <c r="D229" s="41"/>
      <c r="E229" s="35"/>
    </row>
    <row r="230" ht="12.75" customHeight="1">
      <c r="A230" s="63"/>
      <c r="B230" s="64"/>
      <c r="C230" s="35"/>
      <c r="D230" s="41"/>
      <c r="E230" s="35"/>
    </row>
    <row r="231" ht="12.75" customHeight="1">
      <c r="A231" s="63"/>
      <c r="B231" s="64"/>
      <c r="C231" s="35"/>
      <c r="D231" s="41"/>
      <c r="E231" s="35"/>
    </row>
    <row r="232" ht="12.75" customHeight="1">
      <c r="A232" s="63"/>
      <c r="B232" s="64"/>
      <c r="C232" s="35"/>
      <c r="D232" s="41"/>
      <c r="E232" s="35"/>
    </row>
    <row r="233" ht="12.75" customHeight="1">
      <c r="A233" s="63"/>
      <c r="B233" s="64"/>
      <c r="C233" s="35"/>
      <c r="D233" s="41"/>
      <c r="E233" s="35"/>
    </row>
    <row r="234" ht="12.75" customHeight="1">
      <c r="A234" s="63"/>
      <c r="B234" s="64"/>
      <c r="C234" s="35"/>
      <c r="D234" s="41"/>
      <c r="E234" s="35"/>
    </row>
    <row r="235" ht="12.75" customHeight="1">
      <c r="A235" s="63"/>
      <c r="B235" s="64"/>
      <c r="C235" s="35"/>
      <c r="D235" s="41"/>
      <c r="E235" s="35"/>
    </row>
    <row r="236" ht="12.75" customHeight="1">
      <c r="A236" s="63"/>
      <c r="B236" s="64"/>
      <c r="C236" s="35"/>
      <c r="D236" s="41"/>
      <c r="E236" s="35"/>
    </row>
    <row r="237" ht="12.75" customHeight="1">
      <c r="A237" s="63"/>
      <c r="B237" s="64"/>
      <c r="C237" s="35"/>
      <c r="D237" s="41"/>
      <c r="E237" s="35"/>
    </row>
    <row r="238" ht="12.75" customHeight="1">
      <c r="A238" s="63"/>
      <c r="B238" s="64"/>
      <c r="C238" s="35"/>
      <c r="D238" s="41"/>
      <c r="E238" s="35"/>
    </row>
    <row r="239" ht="12.75" customHeight="1">
      <c r="A239" s="63"/>
      <c r="B239" s="64"/>
      <c r="C239" s="35"/>
      <c r="D239" s="41"/>
      <c r="E239" s="35"/>
    </row>
    <row r="240" ht="12.75" customHeight="1">
      <c r="A240" s="63"/>
      <c r="B240" s="64"/>
      <c r="C240" s="35"/>
      <c r="D240" s="41"/>
      <c r="E240" s="35"/>
    </row>
    <row r="241" ht="12.75" customHeight="1">
      <c r="A241" s="63"/>
      <c r="B241" s="64"/>
      <c r="C241" s="35"/>
      <c r="D241" s="41"/>
      <c r="E241" s="35"/>
    </row>
    <row r="242" ht="12.75" customHeight="1">
      <c r="A242" s="63"/>
      <c r="B242" s="64"/>
      <c r="C242" s="35"/>
      <c r="D242" s="41"/>
      <c r="E242" s="35"/>
    </row>
    <row r="243" ht="12.75" customHeight="1">
      <c r="A243" s="63"/>
      <c r="B243" s="64"/>
      <c r="C243" s="35"/>
      <c r="D243" s="41"/>
      <c r="E243" s="35"/>
    </row>
    <row r="244" ht="12.75" customHeight="1">
      <c r="A244" s="63"/>
      <c r="B244" s="64"/>
      <c r="C244" s="35"/>
      <c r="D244" s="41"/>
      <c r="E244" s="35"/>
    </row>
    <row r="245" ht="12.75" customHeight="1">
      <c r="A245" s="63"/>
      <c r="B245" s="64"/>
      <c r="C245" s="35"/>
      <c r="D245" s="41"/>
      <c r="E245" s="35"/>
    </row>
    <row r="246" ht="12.75" customHeight="1">
      <c r="A246" s="63"/>
      <c r="B246" s="64"/>
      <c r="C246" s="35"/>
      <c r="D246" s="41"/>
      <c r="E246" s="35"/>
    </row>
    <row r="247" ht="12.75" customHeight="1">
      <c r="A247" s="63"/>
      <c r="B247" s="64"/>
      <c r="C247" s="35"/>
      <c r="D247" s="41"/>
      <c r="E247" s="35"/>
    </row>
    <row r="248" ht="12.75" customHeight="1">
      <c r="A248" s="63"/>
      <c r="B248" s="64"/>
      <c r="C248" s="35"/>
      <c r="D248" s="41"/>
      <c r="E248" s="35"/>
    </row>
    <row r="249" ht="12.75" customHeight="1">
      <c r="A249" s="63"/>
      <c r="B249" s="64"/>
      <c r="C249" s="35"/>
      <c r="D249" s="41"/>
      <c r="E249" s="35"/>
    </row>
    <row r="250" ht="12.75" customHeight="1">
      <c r="A250" s="63"/>
      <c r="B250" s="64"/>
      <c r="C250" s="35"/>
      <c r="D250" s="41"/>
      <c r="E250" s="35"/>
    </row>
    <row r="251" ht="12.75" customHeight="1">
      <c r="A251" s="63"/>
      <c r="B251" s="64"/>
      <c r="C251" s="35"/>
      <c r="D251" s="41"/>
      <c r="E251" s="35"/>
    </row>
    <row r="252" ht="12.75" customHeight="1">
      <c r="A252" s="63"/>
      <c r="B252" s="64"/>
      <c r="C252" s="35"/>
      <c r="D252" s="41"/>
      <c r="E252" s="35"/>
    </row>
    <row r="253" ht="12.75" customHeight="1">
      <c r="A253" s="63"/>
      <c r="B253" s="64"/>
      <c r="C253" s="35"/>
      <c r="D253" s="41"/>
      <c r="E253" s="35"/>
    </row>
    <row r="254" ht="12.75" customHeight="1">
      <c r="A254" s="63"/>
      <c r="B254" s="64"/>
      <c r="C254" s="35"/>
      <c r="D254" s="41"/>
      <c r="E254" s="35"/>
    </row>
    <row r="255" ht="12.75" customHeight="1">
      <c r="A255" s="63"/>
      <c r="B255" s="64"/>
      <c r="C255" s="35"/>
      <c r="D255" s="41"/>
      <c r="E255" s="35"/>
    </row>
    <row r="256" ht="12.75" customHeight="1">
      <c r="A256" s="63"/>
      <c r="B256" s="64"/>
      <c r="C256" s="35"/>
      <c r="D256" s="41"/>
      <c r="E256" s="35"/>
    </row>
    <row r="257" ht="12.75" customHeight="1">
      <c r="A257" s="63"/>
      <c r="B257" s="64"/>
      <c r="C257" s="35"/>
      <c r="D257" s="41"/>
      <c r="E257" s="35"/>
    </row>
    <row r="258" ht="12.75" customHeight="1">
      <c r="A258" s="63"/>
      <c r="B258" s="64"/>
      <c r="C258" s="35"/>
      <c r="D258" s="41"/>
      <c r="E258" s="35"/>
    </row>
    <row r="259" ht="12.75" customHeight="1">
      <c r="A259" s="63"/>
      <c r="B259" s="64"/>
      <c r="C259" s="35"/>
      <c r="D259" s="41"/>
      <c r="E259" s="35"/>
    </row>
    <row r="260" ht="12.75" customHeight="1">
      <c r="A260" s="63"/>
      <c r="B260" s="64"/>
      <c r="C260" s="35"/>
      <c r="D260" s="41"/>
      <c r="E260" s="35"/>
    </row>
    <row r="261" ht="12.75" customHeight="1">
      <c r="A261" s="63"/>
      <c r="B261" s="64"/>
      <c r="C261" s="35"/>
      <c r="D261" s="41"/>
      <c r="E261" s="35"/>
    </row>
    <row r="262" ht="12.75" customHeight="1">
      <c r="A262" s="63"/>
      <c r="B262" s="64"/>
      <c r="C262" s="35"/>
      <c r="D262" s="41"/>
      <c r="E262" s="35"/>
    </row>
    <row r="263" ht="12.75" customHeight="1">
      <c r="A263" s="63"/>
      <c r="B263" s="64"/>
      <c r="C263" s="35"/>
      <c r="D263" s="41"/>
      <c r="E263" s="35"/>
    </row>
    <row r="264" ht="12.75" customHeight="1">
      <c r="A264" s="63"/>
      <c r="B264" s="64"/>
      <c r="C264" s="35"/>
      <c r="D264" s="41"/>
      <c r="E264" s="35"/>
    </row>
    <row r="265" ht="12.75" customHeight="1">
      <c r="A265" s="63"/>
      <c r="B265" s="64"/>
      <c r="C265" s="35"/>
      <c r="D265" s="41"/>
      <c r="E265" s="35"/>
    </row>
    <row r="266" ht="12.75" customHeight="1">
      <c r="A266" s="63"/>
      <c r="B266" s="64"/>
      <c r="C266" s="35"/>
      <c r="D266" s="41"/>
      <c r="E266" s="35"/>
    </row>
    <row r="267" ht="12.75" customHeight="1">
      <c r="A267" s="63"/>
      <c r="B267" s="64"/>
      <c r="C267" s="35"/>
      <c r="D267" s="41"/>
      <c r="E267" s="35"/>
    </row>
    <row r="268" ht="12.75" customHeight="1">
      <c r="A268" s="63"/>
      <c r="B268" s="64"/>
      <c r="C268" s="35"/>
      <c r="D268" s="41"/>
      <c r="E268" s="35"/>
    </row>
    <row r="269" ht="12.75" customHeight="1">
      <c r="A269" s="63"/>
      <c r="B269" s="64"/>
      <c r="C269" s="35"/>
      <c r="D269" s="41"/>
      <c r="E269" s="35"/>
    </row>
    <row r="270" ht="12.75" customHeight="1">
      <c r="A270" s="63"/>
      <c r="B270" s="64"/>
      <c r="C270" s="35"/>
      <c r="D270" s="41"/>
      <c r="E270" s="35"/>
    </row>
    <row r="271" ht="12.75" customHeight="1">
      <c r="A271" s="63"/>
      <c r="B271" s="64"/>
      <c r="C271" s="35"/>
      <c r="D271" s="41"/>
      <c r="E271" s="35"/>
    </row>
    <row r="272" ht="12.75" customHeight="1">
      <c r="A272" s="63"/>
      <c r="B272" s="64"/>
      <c r="C272" s="35"/>
      <c r="D272" s="41"/>
      <c r="E272" s="35"/>
    </row>
    <row r="273" ht="12.75" customHeight="1">
      <c r="A273" s="63"/>
      <c r="B273" s="64"/>
      <c r="C273" s="35"/>
      <c r="D273" s="41"/>
      <c r="E273" s="35"/>
    </row>
    <row r="274" ht="12.75" customHeight="1">
      <c r="A274" s="63"/>
      <c r="B274" s="64"/>
      <c r="C274" s="35"/>
      <c r="D274" s="41"/>
      <c r="E274" s="35"/>
    </row>
    <row r="275" ht="12.75" customHeight="1">
      <c r="A275" s="63"/>
      <c r="B275" s="64"/>
      <c r="C275" s="35"/>
      <c r="D275" s="41"/>
      <c r="E275" s="35"/>
    </row>
    <row r="276" ht="12.75" customHeight="1">
      <c r="A276" s="63"/>
      <c r="B276" s="64"/>
      <c r="C276" s="35"/>
      <c r="D276" s="41"/>
      <c r="E276" s="35"/>
    </row>
    <row r="277" ht="12.75" customHeight="1">
      <c r="A277" s="63"/>
      <c r="B277" s="64"/>
      <c r="C277" s="35"/>
      <c r="D277" s="41"/>
      <c r="E277" s="35"/>
    </row>
    <row r="278" ht="12.75" customHeight="1">
      <c r="A278" s="63"/>
      <c r="B278" s="64"/>
      <c r="C278" s="35"/>
      <c r="D278" s="41"/>
      <c r="E278" s="35"/>
    </row>
    <row r="279" ht="12.75" customHeight="1">
      <c r="A279" s="63"/>
      <c r="B279" s="64"/>
      <c r="C279" s="35"/>
      <c r="D279" s="41"/>
      <c r="E279" s="35"/>
    </row>
    <row r="280" ht="12.75" customHeight="1">
      <c r="A280" s="63"/>
      <c r="B280" s="64"/>
      <c r="C280" s="35"/>
      <c r="D280" s="41"/>
      <c r="E280" s="35"/>
    </row>
    <row r="281" ht="12.75" customHeight="1">
      <c r="A281" s="63"/>
      <c r="B281" s="64"/>
      <c r="C281" s="35"/>
      <c r="D281" s="41"/>
      <c r="E281" s="35"/>
    </row>
    <row r="282" ht="12.75" customHeight="1">
      <c r="A282" s="63"/>
      <c r="B282" s="64"/>
      <c r="C282" s="35"/>
      <c r="D282" s="41"/>
      <c r="E282" s="35"/>
    </row>
    <row r="283" ht="12.75" customHeight="1">
      <c r="A283" s="63"/>
      <c r="B283" s="64"/>
      <c r="C283" s="35"/>
      <c r="D283" s="41"/>
      <c r="E283" s="35"/>
    </row>
    <row r="284" ht="12.75" customHeight="1">
      <c r="A284" s="63"/>
      <c r="B284" s="64"/>
      <c r="C284" s="35"/>
      <c r="D284" s="41"/>
      <c r="E284" s="35"/>
    </row>
    <row r="285" ht="12.75" customHeight="1">
      <c r="A285" s="63"/>
      <c r="B285" s="64"/>
      <c r="C285" s="35"/>
      <c r="D285" s="41"/>
      <c r="E285" s="35"/>
    </row>
    <row r="286" ht="12.75" customHeight="1">
      <c r="A286" s="63"/>
      <c r="B286" s="64"/>
      <c r="C286" s="35"/>
      <c r="D286" s="41"/>
      <c r="E286" s="35"/>
    </row>
    <row r="287" ht="12.75" customHeight="1">
      <c r="A287" s="63"/>
      <c r="B287" s="64"/>
      <c r="C287" s="35"/>
      <c r="D287" s="41"/>
      <c r="E287" s="35"/>
    </row>
    <row r="288" ht="12.75" customHeight="1">
      <c r="A288" s="63"/>
      <c r="B288" s="64"/>
      <c r="C288" s="35"/>
      <c r="D288" s="41"/>
      <c r="E288" s="35"/>
    </row>
    <row r="289" ht="12.75" customHeight="1">
      <c r="A289" s="63"/>
      <c r="B289" s="64"/>
      <c r="C289" s="35"/>
      <c r="D289" s="41"/>
      <c r="E289" s="35"/>
    </row>
    <row r="290" ht="12.75" customHeight="1">
      <c r="A290" s="63"/>
      <c r="B290" s="64"/>
      <c r="C290" s="35"/>
      <c r="D290" s="41"/>
      <c r="E290" s="35"/>
    </row>
    <row r="291" ht="12.75" customHeight="1">
      <c r="A291" s="63"/>
      <c r="B291" s="64"/>
      <c r="C291" s="35"/>
      <c r="D291" s="41"/>
      <c r="E291" s="35"/>
    </row>
    <row r="292" ht="12.75" customHeight="1">
      <c r="A292" s="63"/>
      <c r="B292" s="64"/>
      <c r="C292" s="35"/>
      <c r="D292" s="41"/>
      <c r="E292" s="35"/>
    </row>
    <row r="293" ht="12.75" customHeight="1">
      <c r="A293" s="63"/>
      <c r="B293" s="64"/>
      <c r="C293" s="35"/>
      <c r="D293" s="41"/>
      <c r="E293" s="35"/>
    </row>
    <row r="294" ht="12.75" customHeight="1">
      <c r="A294" s="63"/>
      <c r="B294" s="64"/>
      <c r="C294" s="35"/>
      <c r="D294" s="41"/>
      <c r="E294" s="35"/>
    </row>
    <row r="295" ht="12.75" customHeight="1">
      <c r="A295" s="63"/>
      <c r="B295" s="64"/>
      <c r="C295" s="35"/>
      <c r="D295" s="41"/>
      <c r="E295" s="35"/>
    </row>
    <row r="296" ht="12.75" customHeight="1">
      <c r="A296" s="63"/>
      <c r="B296" s="64"/>
      <c r="C296" s="35"/>
      <c r="D296" s="41"/>
      <c r="E296" s="35"/>
    </row>
    <row r="297" ht="12.75" customHeight="1">
      <c r="A297" s="63"/>
      <c r="B297" s="64"/>
      <c r="C297" s="35"/>
      <c r="D297" s="41"/>
      <c r="E297" s="35"/>
    </row>
    <row r="298" ht="12.75" customHeight="1">
      <c r="A298" s="63"/>
      <c r="B298" s="64"/>
      <c r="C298" s="35"/>
      <c r="D298" s="41"/>
      <c r="E298" s="35"/>
    </row>
    <row r="299" ht="12.75" customHeight="1">
      <c r="A299" s="63"/>
      <c r="B299" s="64"/>
      <c r="C299" s="35"/>
      <c r="D299" s="41"/>
      <c r="E299" s="35"/>
    </row>
    <row r="300" ht="12.75" customHeight="1">
      <c r="A300" s="63"/>
      <c r="B300" s="64"/>
      <c r="C300" s="35"/>
      <c r="D300" s="41"/>
      <c r="E300" s="35"/>
    </row>
    <row r="301" ht="12.75" customHeight="1">
      <c r="A301" s="63"/>
      <c r="B301" s="64"/>
      <c r="C301" s="35"/>
      <c r="D301" s="41"/>
      <c r="E301" s="35"/>
    </row>
    <row r="302" ht="12.75" customHeight="1">
      <c r="A302" s="63"/>
      <c r="B302" s="64"/>
      <c r="C302" s="35"/>
      <c r="D302" s="41"/>
      <c r="E302" s="35"/>
    </row>
    <row r="303" ht="12.75" customHeight="1">
      <c r="A303" s="63"/>
      <c r="B303" s="64"/>
      <c r="C303" s="35"/>
      <c r="D303" s="41"/>
      <c r="E303" s="35"/>
    </row>
    <row r="304" ht="12.75" customHeight="1">
      <c r="A304" s="63"/>
      <c r="B304" s="64"/>
      <c r="C304" s="35"/>
      <c r="D304" s="41"/>
      <c r="E304" s="35"/>
    </row>
    <row r="305" ht="12.75" customHeight="1">
      <c r="A305" s="63"/>
      <c r="B305" s="64"/>
      <c r="C305" s="35"/>
      <c r="D305" s="41"/>
      <c r="E305" s="35"/>
    </row>
    <row r="306" ht="12.75" customHeight="1">
      <c r="A306" s="63"/>
      <c r="B306" s="64"/>
      <c r="C306" s="35"/>
      <c r="D306" s="41"/>
      <c r="E306" s="35"/>
    </row>
    <row r="307" ht="12.75" customHeight="1">
      <c r="A307" s="63"/>
      <c r="B307" s="64"/>
      <c r="C307" s="35"/>
      <c r="D307" s="41"/>
      <c r="E307" s="35"/>
    </row>
    <row r="308" ht="12.75" customHeight="1">
      <c r="A308" s="63"/>
      <c r="B308" s="64"/>
      <c r="C308" s="35"/>
      <c r="D308" s="41"/>
      <c r="E308" s="35"/>
    </row>
    <row r="309" ht="12.75" customHeight="1">
      <c r="A309" s="63"/>
      <c r="B309" s="64"/>
      <c r="C309" s="35"/>
      <c r="D309" s="41"/>
      <c r="E309" s="35"/>
    </row>
    <row r="310" ht="12.75" customHeight="1">
      <c r="A310" s="63"/>
      <c r="B310" s="64"/>
      <c r="C310" s="35"/>
      <c r="D310" s="41"/>
      <c r="E310" s="35"/>
    </row>
    <row r="311" ht="12.75" customHeight="1">
      <c r="A311" s="63"/>
      <c r="B311" s="64"/>
      <c r="C311" s="35"/>
      <c r="D311" s="41"/>
      <c r="E311" s="35"/>
    </row>
    <row r="312" ht="12.75" customHeight="1">
      <c r="A312" s="63"/>
      <c r="B312" s="64"/>
      <c r="C312" s="35"/>
      <c r="D312" s="41"/>
      <c r="E312" s="35"/>
    </row>
    <row r="313" ht="12.75" customHeight="1">
      <c r="A313" s="63"/>
      <c r="B313" s="64"/>
      <c r="C313" s="35"/>
      <c r="D313" s="41"/>
      <c r="E313" s="35"/>
    </row>
    <row r="314" ht="12.75" customHeight="1">
      <c r="A314" s="63"/>
      <c r="B314" s="64"/>
      <c r="C314" s="35"/>
      <c r="D314" s="41"/>
      <c r="E314" s="35"/>
    </row>
    <row r="315" ht="12.75" customHeight="1">
      <c r="A315" s="63"/>
      <c r="B315" s="64"/>
      <c r="C315" s="35"/>
      <c r="D315" s="41"/>
      <c r="E315" s="35"/>
    </row>
    <row r="316" ht="12.75" customHeight="1">
      <c r="A316" s="63"/>
      <c r="B316" s="64"/>
      <c r="C316" s="35"/>
      <c r="D316" s="41"/>
      <c r="E316" s="35"/>
    </row>
    <row r="317" ht="12.75" customHeight="1">
      <c r="A317" s="63"/>
      <c r="B317" s="64"/>
      <c r="C317" s="35"/>
      <c r="D317" s="41"/>
      <c r="E317" s="35"/>
    </row>
    <row r="318" ht="12.75" customHeight="1">
      <c r="A318" s="63"/>
      <c r="B318" s="64"/>
      <c r="C318" s="35"/>
      <c r="D318" s="41"/>
      <c r="E318" s="35"/>
    </row>
    <row r="319" ht="12.75" customHeight="1">
      <c r="A319" s="63"/>
      <c r="B319" s="64"/>
      <c r="C319" s="35"/>
      <c r="D319" s="41"/>
      <c r="E319" s="35"/>
    </row>
    <row r="320" ht="12.75" customHeight="1">
      <c r="A320" s="63"/>
      <c r="B320" s="64"/>
      <c r="C320" s="35"/>
      <c r="D320" s="41"/>
      <c r="E320" s="35"/>
    </row>
    <row r="321" ht="12.75" customHeight="1">
      <c r="A321" s="63"/>
      <c r="B321" s="64"/>
      <c r="C321" s="35"/>
      <c r="D321" s="41"/>
      <c r="E321" s="35"/>
    </row>
    <row r="322" ht="12.75" customHeight="1">
      <c r="A322" s="63"/>
      <c r="B322" s="64"/>
      <c r="C322" s="35"/>
      <c r="D322" s="41"/>
      <c r="E322" s="35"/>
    </row>
    <row r="323" ht="12.75" customHeight="1">
      <c r="A323" s="63"/>
      <c r="B323" s="64"/>
      <c r="C323" s="35"/>
      <c r="D323" s="41"/>
      <c r="E323" s="35"/>
    </row>
    <row r="324" ht="12.75" customHeight="1">
      <c r="A324" s="63"/>
      <c r="B324" s="64"/>
      <c r="C324" s="35"/>
      <c r="D324" s="41"/>
      <c r="E324" s="35"/>
    </row>
    <row r="325" ht="12.75" customHeight="1">
      <c r="A325" s="63"/>
      <c r="B325" s="64"/>
      <c r="C325" s="35"/>
      <c r="D325" s="41"/>
      <c r="E325" s="35"/>
    </row>
    <row r="326" ht="12.75" customHeight="1">
      <c r="A326" s="63"/>
      <c r="B326" s="64"/>
      <c r="C326" s="35"/>
      <c r="D326" s="41"/>
      <c r="E326" s="35"/>
    </row>
    <row r="327" ht="12.75" customHeight="1">
      <c r="A327" s="63"/>
      <c r="B327" s="64"/>
      <c r="C327" s="35"/>
      <c r="D327" s="41"/>
      <c r="E327" s="35"/>
    </row>
    <row r="328" ht="12.75" customHeight="1">
      <c r="A328" s="63"/>
      <c r="B328" s="64"/>
      <c r="C328" s="35"/>
      <c r="D328" s="41"/>
      <c r="E328" s="35"/>
    </row>
    <row r="329" ht="12.75" customHeight="1">
      <c r="A329" s="63"/>
      <c r="B329" s="64"/>
      <c r="C329" s="35"/>
      <c r="D329" s="41"/>
      <c r="E329" s="35"/>
    </row>
    <row r="330" ht="12.75" customHeight="1">
      <c r="A330" s="63"/>
      <c r="B330" s="64"/>
      <c r="C330" s="35"/>
      <c r="D330" s="41"/>
      <c r="E330" s="35"/>
    </row>
    <row r="331" ht="12.75" customHeight="1">
      <c r="A331" s="63"/>
      <c r="B331" s="64"/>
      <c r="C331" s="35"/>
      <c r="D331" s="41"/>
      <c r="E331" s="35"/>
    </row>
    <row r="332" ht="12.75" customHeight="1">
      <c r="A332" s="63"/>
      <c r="B332" s="64"/>
      <c r="C332" s="35"/>
      <c r="D332" s="41"/>
      <c r="E332" s="35"/>
    </row>
    <row r="333" ht="12.75" customHeight="1">
      <c r="A333" s="63"/>
      <c r="B333" s="64"/>
      <c r="C333" s="35"/>
      <c r="D333" s="41"/>
      <c r="E333" s="35"/>
    </row>
    <row r="334" ht="12.75" customHeight="1">
      <c r="A334" s="63"/>
      <c r="B334" s="64"/>
      <c r="C334" s="35"/>
      <c r="D334" s="41"/>
      <c r="E334" s="35"/>
    </row>
    <row r="335" ht="12.75" customHeight="1">
      <c r="A335" s="63"/>
      <c r="B335" s="64"/>
      <c r="C335" s="35"/>
      <c r="D335" s="41"/>
      <c r="E335" s="35"/>
    </row>
    <row r="336" ht="12.75" customHeight="1">
      <c r="A336" s="63"/>
      <c r="B336" s="64"/>
      <c r="C336" s="35"/>
      <c r="D336" s="41"/>
      <c r="E336" s="35"/>
    </row>
    <row r="337" ht="12.75" customHeight="1">
      <c r="A337" s="63"/>
      <c r="B337" s="64"/>
      <c r="C337" s="35"/>
      <c r="D337" s="41"/>
      <c r="E337" s="35"/>
    </row>
    <row r="338" ht="12.75" customHeight="1">
      <c r="A338" s="63"/>
      <c r="B338" s="64"/>
      <c r="C338" s="35"/>
      <c r="D338" s="41"/>
      <c r="E338" s="35"/>
    </row>
    <row r="339" ht="12.75" customHeight="1">
      <c r="A339" s="63"/>
      <c r="B339" s="64"/>
      <c r="C339" s="35"/>
      <c r="D339" s="41"/>
      <c r="E339" s="35"/>
    </row>
    <row r="340" ht="12.75" customHeight="1">
      <c r="A340" s="63"/>
      <c r="B340" s="64"/>
      <c r="C340" s="35"/>
      <c r="D340" s="41"/>
      <c r="E340" s="35"/>
    </row>
    <row r="341" ht="12.75" customHeight="1">
      <c r="A341" s="63"/>
      <c r="B341" s="64"/>
      <c r="C341" s="35"/>
      <c r="D341" s="41"/>
      <c r="E341" s="35"/>
    </row>
    <row r="342" ht="12.75" customHeight="1">
      <c r="A342" s="63"/>
      <c r="B342" s="64"/>
      <c r="C342" s="35"/>
      <c r="D342" s="41"/>
      <c r="E342" s="35"/>
    </row>
    <row r="343" ht="12.75" customHeight="1">
      <c r="A343" s="63"/>
      <c r="B343" s="64"/>
      <c r="C343" s="35"/>
      <c r="D343" s="41"/>
      <c r="E343" s="35"/>
    </row>
    <row r="344" ht="12.75" customHeight="1">
      <c r="A344" s="63"/>
      <c r="B344" s="64"/>
      <c r="C344" s="35"/>
      <c r="D344" s="41"/>
      <c r="E344" s="35"/>
    </row>
    <row r="345" ht="12.75" customHeight="1">
      <c r="A345" s="63"/>
      <c r="B345" s="64"/>
      <c r="C345" s="35"/>
      <c r="D345" s="41"/>
      <c r="E345" s="35"/>
    </row>
    <row r="346" ht="12.75" customHeight="1">
      <c r="A346" s="63"/>
      <c r="B346" s="64"/>
      <c r="C346" s="35"/>
      <c r="D346" s="41"/>
      <c r="E346" s="35"/>
    </row>
    <row r="347" ht="12.75" customHeight="1">
      <c r="A347" s="63"/>
      <c r="B347" s="64"/>
      <c r="C347" s="35"/>
      <c r="D347" s="41"/>
      <c r="E347" s="35"/>
    </row>
    <row r="348" ht="12.75" customHeight="1">
      <c r="A348" s="63"/>
      <c r="B348" s="64"/>
      <c r="C348" s="35"/>
      <c r="D348" s="41"/>
      <c r="E348" s="35"/>
    </row>
    <row r="349" ht="12.75" customHeight="1">
      <c r="A349" s="63"/>
      <c r="B349" s="64"/>
      <c r="C349" s="35"/>
      <c r="D349" s="41"/>
      <c r="E349" s="35"/>
    </row>
    <row r="350" ht="12.75" customHeight="1">
      <c r="A350" s="63"/>
      <c r="B350" s="64"/>
      <c r="C350" s="35"/>
      <c r="D350" s="41"/>
      <c r="E350" s="35"/>
    </row>
    <row r="351" ht="12.75" customHeight="1">
      <c r="A351" s="63"/>
      <c r="B351" s="64"/>
      <c r="C351" s="35"/>
      <c r="D351" s="41"/>
      <c r="E351" s="35"/>
    </row>
    <row r="352" ht="12.75" customHeight="1">
      <c r="A352" s="63"/>
      <c r="B352" s="64"/>
      <c r="C352" s="35"/>
      <c r="D352" s="41"/>
      <c r="E352" s="35"/>
    </row>
    <row r="353" ht="12.75" customHeight="1">
      <c r="A353" s="63"/>
      <c r="B353" s="64"/>
      <c r="C353" s="35"/>
      <c r="D353" s="41"/>
      <c r="E353" s="35"/>
    </row>
    <row r="354" ht="12.75" customHeight="1">
      <c r="A354" s="63"/>
      <c r="B354" s="64"/>
      <c r="C354" s="35"/>
      <c r="D354" s="41"/>
      <c r="E354" s="35"/>
    </row>
    <row r="355" ht="12.75" customHeight="1">
      <c r="A355" s="63"/>
      <c r="B355" s="64"/>
      <c r="C355" s="35"/>
      <c r="D355" s="41"/>
      <c r="E355" s="35"/>
    </row>
    <row r="356" ht="12.75" customHeight="1">
      <c r="A356" s="63"/>
      <c r="B356" s="64"/>
      <c r="C356" s="35"/>
      <c r="D356" s="41"/>
      <c r="E356" s="35"/>
    </row>
    <row r="357" ht="12.75" customHeight="1">
      <c r="A357" s="63"/>
      <c r="B357" s="64"/>
      <c r="C357" s="35"/>
      <c r="D357" s="41"/>
      <c r="E357" s="35"/>
    </row>
    <row r="358" ht="12.75" customHeight="1">
      <c r="A358" s="63"/>
      <c r="B358" s="64"/>
      <c r="C358" s="35"/>
      <c r="D358" s="41"/>
      <c r="E358" s="35"/>
    </row>
    <row r="359" ht="12.75" customHeight="1">
      <c r="A359" s="63"/>
      <c r="B359" s="64"/>
      <c r="C359" s="35"/>
      <c r="D359" s="41"/>
      <c r="E359" s="35"/>
    </row>
    <row r="360" ht="12.75" customHeight="1">
      <c r="A360" s="63"/>
      <c r="B360" s="64"/>
      <c r="C360" s="35"/>
      <c r="D360" s="41"/>
      <c r="E360" s="35"/>
    </row>
    <row r="361" ht="12.75" customHeight="1">
      <c r="A361" s="63"/>
      <c r="B361" s="64"/>
      <c r="C361" s="35"/>
      <c r="D361" s="41"/>
      <c r="E361" s="35"/>
    </row>
    <row r="362" ht="12.75" customHeight="1">
      <c r="A362" s="63"/>
      <c r="B362" s="64"/>
      <c r="C362" s="35"/>
      <c r="D362" s="41"/>
      <c r="E362" s="35"/>
    </row>
    <row r="363" ht="12.75" customHeight="1">
      <c r="A363" s="63"/>
      <c r="B363" s="64"/>
      <c r="C363" s="35"/>
      <c r="D363" s="41"/>
      <c r="E363" s="35"/>
    </row>
    <row r="364" ht="12.75" customHeight="1">
      <c r="A364" s="63"/>
      <c r="B364" s="64"/>
      <c r="C364" s="35"/>
      <c r="D364" s="41"/>
      <c r="E364" s="35"/>
    </row>
    <row r="365" ht="12.75" customHeight="1">
      <c r="A365" s="63"/>
      <c r="B365" s="64"/>
      <c r="C365" s="35"/>
      <c r="D365" s="41"/>
      <c r="E365" s="35"/>
    </row>
    <row r="366" ht="12.75" customHeight="1">
      <c r="A366" s="63"/>
      <c r="B366" s="64"/>
      <c r="C366" s="35"/>
      <c r="D366" s="41"/>
      <c r="E366" s="35"/>
    </row>
    <row r="367" ht="12.75" customHeight="1">
      <c r="A367" s="63"/>
      <c r="B367" s="64"/>
      <c r="C367" s="35"/>
      <c r="D367" s="41"/>
      <c r="E367" s="35"/>
    </row>
    <row r="368" ht="12.75" customHeight="1">
      <c r="A368" s="63"/>
      <c r="B368" s="64"/>
      <c r="C368" s="35"/>
      <c r="D368" s="41"/>
      <c r="E368" s="35"/>
    </row>
    <row r="369" ht="12.75" customHeight="1">
      <c r="A369" s="63"/>
      <c r="B369" s="64"/>
      <c r="C369" s="35"/>
      <c r="D369" s="41"/>
      <c r="E369" s="35"/>
    </row>
    <row r="370" ht="12.75" customHeight="1">
      <c r="A370" s="63"/>
      <c r="B370" s="64"/>
      <c r="C370" s="35"/>
      <c r="D370" s="41"/>
      <c r="E370" s="35"/>
    </row>
    <row r="371" ht="12.75" customHeight="1">
      <c r="A371" s="63"/>
      <c r="B371" s="64"/>
      <c r="C371" s="35"/>
      <c r="D371" s="41"/>
      <c r="E371" s="35"/>
    </row>
    <row r="372" ht="12.75" customHeight="1">
      <c r="A372" s="63"/>
      <c r="B372" s="64"/>
      <c r="C372" s="35"/>
      <c r="D372" s="41"/>
      <c r="E372" s="35"/>
    </row>
    <row r="373" ht="12.75" customHeight="1">
      <c r="A373" s="63"/>
      <c r="B373" s="64"/>
      <c r="C373" s="35"/>
      <c r="D373" s="41"/>
      <c r="E373" s="35"/>
    </row>
    <row r="374" ht="12.75" customHeight="1">
      <c r="A374" s="63"/>
      <c r="B374" s="64"/>
      <c r="C374" s="35"/>
      <c r="D374" s="41"/>
      <c r="E374" s="35"/>
    </row>
    <row r="375" ht="12.75" customHeight="1">
      <c r="A375" s="63"/>
      <c r="B375" s="64"/>
      <c r="C375" s="35"/>
      <c r="D375" s="41"/>
      <c r="E375" s="35"/>
    </row>
    <row r="376" ht="12.75" customHeight="1">
      <c r="A376" s="63"/>
      <c r="B376" s="64"/>
      <c r="C376" s="35"/>
      <c r="D376" s="41"/>
      <c r="E376" s="35"/>
    </row>
    <row r="377" ht="12.75" customHeight="1">
      <c r="A377" s="63"/>
      <c r="B377" s="64"/>
      <c r="C377" s="35"/>
      <c r="D377" s="41"/>
      <c r="E377" s="35"/>
    </row>
    <row r="378" ht="12.75" customHeight="1">
      <c r="A378" s="63"/>
      <c r="B378" s="64"/>
      <c r="C378" s="35"/>
      <c r="D378" s="41"/>
      <c r="E378" s="35"/>
    </row>
    <row r="379" ht="12.75" customHeight="1">
      <c r="A379" s="63"/>
      <c r="B379" s="64"/>
      <c r="C379" s="35"/>
      <c r="D379" s="41"/>
      <c r="E379" s="35"/>
    </row>
    <row r="380" ht="12.75" customHeight="1">
      <c r="A380" s="63"/>
      <c r="B380" s="64"/>
      <c r="C380" s="35"/>
      <c r="D380" s="41"/>
      <c r="E380" s="35"/>
    </row>
    <row r="381" ht="12.75" customHeight="1">
      <c r="A381" s="63"/>
      <c r="B381" s="64"/>
      <c r="C381" s="35"/>
      <c r="D381" s="41"/>
      <c r="E381" s="35"/>
    </row>
    <row r="382" ht="12.75" customHeight="1">
      <c r="A382" s="63"/>
      <c r="B382" s="64"/>
      <c r="C382" s="35"/>
      <c r="D382" s="41"/>
      <c r="E382" s="35"/>
    </row>
    <row r="383" ht="12.75" customHeight="1">
      <c r="A383" s="63"/>
      <c r="B383" s="64"/>
      <c r="C383" s="35"/>
      <c r="D383" s="41"/>
      <c r="E383" s="35"/>
    </row>
    <row r="384" ht="12.75" customHeight="1">
      <c r="A384" s="63"/>
      <c r="B384" s="64"/>
      <c r="C384" s="35"/>
      <c r="D384" s="41"/>
      <c r="E384" s="35"/>
    </row>
    <row r="385" ht="12.75" customHeight="1">
      <c r="A385" s="63"/>
      <c r="B385" s="64"/>
      <c r="C385" s="35"/>
      <c r="D385" s="41"/>
      <c r="E385" s="35"/>
    </row>
    <row r="386" ht="12.75" customHeight="1">
      <c r="A386" s="63"/>
      <c r="B386" s="64"/>
      <c r="C386" s="35"/>
      <c r="D386" s="41"/>
      <c r="E386" s="35"/>
    </row>
    <row r="387" ht="12.75" customHeight="1">
      <c r="A387" s="63"/>
      <c r="B387" s="64"/>
      <c r="C387" s="35"/>
      <c r="D387" s="41"/>
      <c r="E387" s="35"/>
    </row>
    <row r="388" ht="12.75" customHeight="1">
      <c r="A388" s="63"/>
      <c r="B388" s="64"/>
      <c r="C388" s="35"/>
      <c r="D388" s="41"/>
      <c r="E388" s="35"/>
    </row>
    <row r="389" ht="12.75" customHeight="1">
      <c r="A389" s="63"/>
      <c r="B389" s="64"/>
      <c r="C389" s="35"/>
      <c r="D389" s="41"/>
      <c r="E389" s="35"/>
    </row>
    <row r="390" ht="12.75" customHeight="1">
      <c r="A390" s="63"/>
      <c r="B390" s="64"/>
      <c r="C390" s="35"/>
      <c r="D390" s="41"/>
      <c r="E390" s="35"/>
    </row>
    <row r="391" ht="12.75" customHeight="1">
      <c r="A391" s="63"/>
      <c r="B391" s="64"/>
      <c r="C391" s="35"/>
      <c r="D391" s="41"/>
      <c r="E391" s="35"/>
    </row>
    <row r="392" ht="12.75" customHeight="1">
      <c r="A392" s="63"/>
      <c r="B392" s="64"/>
      <c r="C392" s="35"/>
      <c r="D392" s="41"/>
      <c r="E392" s="35"/>
    </row>
    <row r="393" ht="12.75" customHeight="1">
      <c r="A393" s="63"/>
      <c r="B393" s="64"/>
      <c r="C393" s="35"/>
      <c r="D393" s="41"/>
      <c r="E393" s="35"/>
    </row>
    <row r="394" ht="12.75" customHeight="1">
      <c r="A394" s="63"/>
      <c r="B394" s="64"/>
      <c r="C394" s="35"/>
      <c r="D394" s="41"/>
      <c r="E394" s="35"/>
    </row>
    <row r="395" ht="12.75" customHeight="1">
      <c r="A395" s="63"/>
      <c r="B395" s="64"/>
      <c r="C395" s="35"/>
      <c r="D395" s="41"/>
      <c r="E395" s="35"/>
    </row>
    <row r="396" ht="12.75" customHeight="1">
      <c r="A396" s="63"/>
      <c r="B396" s="64"/>
      <c r="C396" s="35"/>
      <c r="D396" s="41"/>
      <c r="E396" s="35"/>
    </row>
    <row r="397" ht="12.75" customHeight="1">
      <c r="A397" s="63"/>
      <c r="B397" s="64"/>
      <c r="C397" s="35"/>
      <c r="D397" s="41"/>
      <c r="E397" s="35"/>
    </row>
    <row r="398" ht="12.75" customHeight="1">
      <c r="A398" s="63"/>
      <c r="B398" s="64"/>
      <c r="C398" s="35"/>
      <c r="D398" s="41"/>
      <c r="E398" s="35"/>
    </row>
    <row r="399" ht="12.75" customHeight="1">
      <c r="A399" s="63"/>
      <c r="B399" s="64"/>
      <c r="C399" s="35"/>
      <c r="D399" s="41"/>
      <c r="E399" s="35"/>
    </row>
    <row r="400" ht="12.75" customHeight="1">
      <c r="A400" s="63"/>
      <c r="B400" s="64"/>
      <c r="C400" s="35"/>
      <c r="D400" s="41"/>
      <c r="E400" s="35"/>
    </row>
    <row r="401" ht="12.75" customHeight="1">
      <c r="A401" s="63"/>
      <c r="B401" s="64"/>
      <c r="C401" s="35"/>
      <c r="D401" s="41"/>
      <c r="E401" s="35"/>
    </row>
    <row r="402" ht="12.75" customHeight="1">
      <c r="A402" s="63"/>
      <c r="B402" s="64"/>
      <c r="C402" s="35"/>
      <c r="D402" s="41"/>
      <c r="E402" s="35"/>
    </row>
    <row r="403" ht="12.75" customHeight="1">
      <c r="A403" s="63"/>
      <c r="B403" s="64"/>
      <c r="C403" s="35"/>
      <c r="D403" s="41"/>
      <c r="E403" s="35"/>
    </row>
    <row r="404" ht="12.75" customHeight="1">
      <c r="A404" s="63"/>
      <c r="B404" s="64"/>
      <c r="C404" s="35"/>
      <c r="D404" s="41"/>
      <c r="E404" s="35"/>
    </row>
    <row r="405" ht="12.75" customHeight="1">
      <c r="A405" s="63"/>
      <c r="B405" s="64"/>
      <c r="C405" s="35"/>
      <c r="D405" s="41"/>
      <c r="E405" s="35"/>
    </row>
    <row r="406" ht="12.75" customHeight="1">
      <c r="A406" s="63"/>
      <c r="B406" s="64"/>
      <c r="C406" s="35"/>
      <c r="D406" s="41"/>
      <c r="E406" s="35"/>
    </row>
    <row r="407" ht="12.75" customHeight="1">
      <c r="A407" s="63"/>
      <c r="B407" s="64"/>
      <c r="C407" s="35"/>
      <c r="D407" s="41"/>
      <c r="E407" s="35"/>
    </row>
    <row r="408" ht="12.75" customHeight="1">
      <c r="A408" s="63"/>
      <c r="B408" s="64"/>
      <c r="C408" s="35"/>
      <c r="D408" s="41"/>
      <c r="E408" s="35"/>
    </row>
    <row r="409" ht="12.75" customHeight="1">
      <c r="A409" s="63"/>
      <c r="B409" s="64"/>
      <c r="C409" s="35"/>
      <c r="D409" s="41"/>
      <c r="E409" s="35"/>
    </row>
    <row r="410" ht="12.75" customHeight="1">
      <c r="A410" s="63"/>
      <c r="B410" s="64"/>
      <c r="C410" s="35"/>
      <c r="D410" s="41"/>
      <c r="E410" s="35"/>
    </row>
    <row r="411" ht="12.75" customHeight="1">
      <c r="A411" s="63"/>
      <c r="B411" s="64"/>
      <c r="C411" s="35"/>
      <c r="D411" s="41"/>
      <c r="E411" s="35"/>
    </row>
    <row r="412" ht="12.75" customHeight="1">
      <c r="A412" s="63"/>
      <c r="B412" s="64"/>
      <c r="C412" s="35"/>
      <c r="D412" s="41"/>
      <c r="E412" s="35"/>
    </row>
    <row r="413" ht="12.75" customHeight="1">
      <c r="A413" s="63"/>
      <c r="B413" s="64"/>
      <c r="C413" s="35"/>
      <c r="D413" s="41"/>
      <c r="E413" s="35"/>
    </row>
    <row r="414" ht="12.75" customHeight="1">
      <c r="A414" s="63"/>
      <c r="B414" s="64"/>
      <c r="C414" s="35"/>
      <c r="D414" s="41"/>
      <c r="E414" s="35"/>
    </row>
    <row r="415" ht="12.75" customHeight="1">
      <c r="A415" s="63"/>
      <c r="B415" s="64"/>
      <c r="C415" s="35"/>
      <c r="D415" s="41"/>
      <c r="E415" s="35"/>
    </row>
    <row r="416" ht="12.75" customHeight="1">
      <c r="A416" s="63"/>
      <c r="B416" s="64"/>
      <c r="C416" s="35"/>
      <c r="D416" s="41"/>
      <c r="E416" s="35"/>
    </row>
    <row r="417" ht="12.75" customHeight="1">
      <c r="A417" s="63"/>
      <c r="B417" s="64"/>
      <c r="C417" s="35"/>
      <c r="D417" s="41"/>
      <c r="E417" s="35"/>
    </row>
    <row r="418" ht="12.75" customHeight="1">
      <c r="A418" s="63"/>
      <c r="B418" s="64"/>
      <c r="C418" s="35"/>
      <c r="D418" s="41"/>
      <c r="E418" s="35"/>
    </row>
    <row r="419" ht="12.75" customHeight="1">
      <c r="A419" s="63"/>
      <c r="B419" s="64"/>
      <c r="C419" s="35"/>
      <c r="D419" s="41"/>
      <c r="E419" s="35"/>
    </row>
    <row r="420" ht="12.75" customHeight="1">
      <c r="A420" s="63"/>
      <c r="B420" s="64"/>
      <c r="C420" s="35"/>
      <c r="D420" s="41"/>
      <c r="E420" s="35"/>
    </row>
    <row r="421" ht="12.75" customHeight="1">
      <c r="A421" s="63"/>
      <c r="B421" s="64"/>
      <c r="C421" s="35"/>
      <c r="D421" s="41"/>
      <c r="E421" s="35"/>
    </row>
    <row r="422" ht="12.75" customHeight="1">
      <c r="A422" s="63"/>
      <c r="B422" s="64"/>
      <c r="C422" s="35"/>
      <c r="D422" s="41"/>
      <c r="E422" s="35"/>
    </row>
    <row r="423" ht="12.75" customHeight="1">
      <c r="A423" s="63"/>
      <c r="B423" s="64"/>
      <c r="C423" s="35"/>
      <c r="D423" s="41"/>
      <c r="E423" s="35"/>
    </row>
    <row r="424" ht="12.75" customHeight="1">
      <c r="A424" s="63"/>
      <c r="B424" s="64"/>
      <c r="C424" s="35"/>
      <c r="D424" s="41"/>
      <c r="E424" s="35"/>
    </row>
    <row r="425" ht="12.75" customHeight="1">
      <c r="A425" s="63"/>
      <c r="B425" s="64"/>
      <c r="C425" s="35"/>
      <c r="D425" s="41"/>
      <c r="E425" s="35"/>
    </row>
    <row r="426" ht="12.75" customHeight="1">
      <c r="A426" s="63"/>
      <c r="B426" s="64"/>
      <c r="C426" s="35"/>
      <c r="D426" s="41"/>
      <c r="E426" s="35"/>
    </row>
    <row r="427" ht="12.75" customHeight="1">
      <c r="A427" s="63"/>
      <c r="B427" s="64"/>
      <c r="C427" s="35"/>
      <c r="D427" s="41"/>
      <c r="E427" s="35"/>
    </row>
    <row r="428" ht="12.75" customHeight="1">
      <c r="A428" s="63"/>
      <c r="B428" s="64"/>
      <c r="C428" s="35"/>
      <c r="D428" s="41"/>
      <c r="E428" s="35"/>
    </row>
    <row r="429" ht="12.75" customHeight="1">
      <c r="A429" s="63"/>
      <c r="B429" s="64"/>
      <c r="C429" s="35"/>
      <c r="D429" s="41"/>
      <c r="E429" s="35"/>
    </row>
    <row r="430" ht="12.75" customHeight="1">
      <c r="A430" s="63"/>
      <c r="B430" s="64"/>
      <c r="C430" s="35"/>
      <c r="D430" s="41"/>
      <c r="E430" s="35"/>
    </row>
    <row r="431" ht="12.75" customHeight="1">
      <c r="A431" s="63"/>
      <c r="B431" s="64"/>
      <c r="C431" s="35"/>
      <c r="D431" s="41"/>
      <c r="E431" s="35"/>
    </row>
    <row r="432" ht="12.75" customHeight="1">
      <c r="A432" s="63"/>
      <c r="B432" s="64"/>
      <c r="C432" s="35"/>
      <c r="D432" s="41"/>
      <c r="E432" s="35"/>
    </row>
    <row r="433" ht="12.75" customHeight="1">
      <c r="A433" s="63"/>
      <c r="B433" s="64"/>
      <c r="C433" s="35"/>
      <c r="D433" s="41"/>
      <c r="E433" s="35"/>
    </row>
    <row r="434" ht="12.75" customHeight="1">
      <c r="A434" s="63"/>
      <c r="B434" s="64"/>
      <c r="C434" s="35"/>
      <c r="D434" s="41"/>
      <c r="E434" s="35"/>
    </row>
    <row r="435" ht="12.75" customHeight="1">
      <c r="A435" s="63"/>
      <c r="B435" s="64"/>
      <c r="C435" s="35"/>
      <c r="D435" s="41"/>
      <c r="E435" s="35"/>
    </row>
    <row r="436" ht="12.75" customHeight="1">
      <c r="A436" s="63"/>
      <c r="B436" s="64"/>
      <c r="C436" s="35"/>
      <c r="D436" s="41"/>
      <c r="E436" s="35"/>
    </row>
    <row r="437" ht="12.75" customHeight="1">
      <c r="A437" s="63"/>
      <c r="B437" s="64"/>
      <c r="C437" s="35"/>
      <c r="D437" s="41"/>
      <c r="E437" s="35"/>
    </row>
    <row r="438" ht="12.75" customHeight="1">
      <c r="A438" s="63"/>
      <c r="B438" s="64"/>
      <c r="C438" s="35"/>
      <c r="D438" s="41"/>
      <c r="E438" s="35"/>
    </row>
    <row r="439" ht="12.75" customHeight="1">
      <c r="A439" s="63"/>
      <c r="B439" s="64"/>
      <c r="C439" s="35"/>
      <c r="D439" s="41"/>
      <c r="E439" s="35"/>
    </row>
    <row r="440" ht="12.75" customHeight="1">
      <c r="A440" s="63"/>
      <c r="B440" s="64"/>
      <c r="C440" s="35"/>
      <c r="D440" s="41"/>
      <c r="E440" s="35"/>
    </row>
    <row r="441" ht="12.75" customHeight="1">
      <c r="A441" s="63"/>
      <c r="B441" s="64"/>
      <c r="C441" s="35"/>
      <c r="D441" s="41"/>
      <c r="E441" s="35"/>
    </row>
    <row r="442" ht="12.75" customHeight="1">
      <c r="A442" s="63"/>
      <c r="B442" s="64"/>
      <c r="C442" s="35"/>
      <c r="D442" s="41"/>
      <c r="E442" s="35"/>
    </row>
    <row r="443" ht="12.75" customHeight="1">
      <c r="A443" s="63"/>
      <c r="B443" s="64"/>
      <c r="C443" s="35"/>
      <c r="D443" s="41"/>
      <c r="E443" s="35"/>
    </row>
    <row r="444" ht="12.75" customHeight="1">
      <c r="A444" s="63"/>
      <c r="B444" s="64"/>
      <c r="C444" s="35"/>
      <c r="D444" s="41"/>
      <c r="E444" s="35"/>
    </row>
    <row r="445" ht="12.75" customHeight="1">
      <c r="A445" s="63"/>
      <c r="B445" s="64"/>
      <c r="C445" s="35"/>
      <c r="D445" s="41"/>
      <c r="E445" s="35"/>
    </row>
    <row r="446" ht="12.75" customHeight="1">
      <c r="A446" s="63"/>
      <c r="B446" s="64"/>
      <c r="C446" s="35"/>
      <c r="D446" s="41"/>
      <c r="E446" s="35"/>
    </row>
    <row r="447" ht="12.75" customHeight="1">
      <c r="A447" s="63"/>
      <c r="B447" s="64"/>
      <c r="C447" s="35"/>
      <c r="D447" s="41"/>
      <c r="E447" s="35"/>
    </row>
    <row r="448" ht="12.75" customHeight="1">
      <c r="A448" s="63"/>
      <c r="B448" s="64"/>
      <c r="C448" s="35"/>
      <c r="D448" s="41"/>
      <c r="E448" s="35"/>
    </row>
    <row r="449" ht="12.75" customHeight="1">
      <c r="A449" s="63"/>
      <c r="B449" s="64"/>
      <c r="C449" s="35"/>
      <c r="D449" s="41"/>
      <c r="E449" s="35"/>
    </row>
    <row r="450" ht="12.75" customHeight="1">
      <c r="A450" s="63"/>
      <c r="B450" s="64"/>
      <c r="C450" s="35"/>
      <c r="D450" s="41"/>
      <c r="E450" s="35"/>
    </row>
    <row r="451" ht="12.75" customHeight="1">
      <c r="A451" s="63"/>
      <c r="B451" s="64"/>
      <c r="C451" s="35"/>
      <c r="D451" s="41"/>
      <c r="E451" s="35"/>
    </row>
    <row r="452" ht="12.75" customHeight="1">
      <c r="A452" s="63"/>
      <c r="B452" s="64"/>
      <c r="C452" s="35"/>
      <c r="D452" s="41"/>
      <c r="E452" s="35"/>
    </row>
    <row r="453" ht="12.75" customHeight="1">
      <c r="A453" s="63"/>
      <c r="B453" s="64"/>
      <c r="C453" s="35"/>
      <c r="D453" s="41"/>
      <c r="E453" s="35"/>
    </row>
    <row r="454" ht="12.75" customHeight="1">
      <c r="A454" s="63"/>
      <c r="B454" s="64"/>
      <c r="C454" s="35"/>
      <c r="D454" s="41"/>
      <c r="E454" s="35"/>
    </row>
    <row r="455" ht="12.75" customHeight="1">
      <c r="A455" s="63"/>
      <c r="B455" s="64"/>
      <c r="C455" s="35"/>
      <c r="D455" s="41"/>
      <c r="E455" s="35"/>
    </row>
    <row r="456" ht="12.75" customHeight="1">
      <c r="A456" s="63"/>
      <c r="B456" s="64"/>
      <c r="C456" s="35"/>
      <c r="D456" s="41"/>
      <c r="E456" s="35"/>
    </row>
    <row r="457" ht="12.75" customHeight="1">
      <c r="A457" s="63"/>
      <c r="B457" s="64"/>
      <c r="C457" s="35"/>
      <c r="D457" s="41"/>
      <c r="E457" s="35"/>
    </row>
    <row r="458" ht="12.75" customHeight="1">
      <c r="A458" s="63"/>
      <c r="B458" s="64"/>
      <c r="C458" s="35"/>
      <c r="D458" s="41"/>
      <c r="E458" s="35"/>
    </row>
    <row r="459" ht="12.75" customHeight="1">
      <c r="A459" s="63"/>
      <c r="B459" s="64"/>
      <c r="C459" s="35"/>
      <c r="D459" s="41"/>
      <c r="E459" s="35"/>
    </row>
    <row r="460" ht="12.75" customHeight="1">
      <c r="A460" s="63"/>
      <c r="B460" s="64"/>
      <c r="C460" s="35"/>
      <c r="D460" s="41"/>
      <c r="E460" s="35"/>
    </row>
    <row r="461" ht="12.75" customHeight="1">
      <c r="A461" s="63"/>
      <c r="B461" s="64"/>
      <c r="C461" s="35"/>
      <c r="D461" s="41"/>
      <c r="E461" s="35"/>
    </row>
    <row r="462" ht="12.75" customHeight="1">
      <c r="A462" s="63"/>
      <c r="B462" s="64"/>
      <c r="C462" s="35"/>
      <c r="D462" s="41"/>
      <c r="E462" s="35"/>
    </row>
    <row r="463" ht="12.75" customHeight="1">
      <c r="A463" s="63"/>
      <c r="B463" s="64"/>
      <c r="C463" s="35"/>
      <c r="D463" s="41"/>
      <c r="E463" s="35"/>
    </row>
    <row r="464" ht="12.75" customHeight="1">
      <c r="A464" s="63"/>
      <c r="B464" s="64"/>
      <c r="C464" s="35"/>
      <c r="D464" s="41"/>
      <c r="E464" s="35"/>
    </row>
    <row r="465" ht="12.75" customHeight="1">
      <c r="A465" s="63"/>
      <c r="B465" s="64"/>
      <c r="C465" s="35"/>
      <c r="D465" s="41"/>
      <c r="E465" s="35"/>
    </row>
    <row r="466" ht="12.75" customHeight="1">
      <c r="A466" s="63"/>
      <c r="B466" s="64"/>
      <c r="C466" s="35"/>
      <c r="D466" s="41"/>
      <c r="E466" s="35"/>
    </row>
    <row r="467" ht="12.75" customHeight="1">
      <c r="A467" s="63"/>
      <c r="B467" s="64"/>
      <c r="C467" s="35"/>
      <c r="D467" s="41"/>
      <c r="E467" s="35"/>
    </row>
    <row r="468" ht="12.75" customHeight="1">
      <c r="A468" s="63"/>
      <c r="B468" s="64"/>
      <c r="C468" s="35"/>
      <c r="D468" s="41"/>
      <c r="E468" s="35"/>
    </row>
    <row r="469" ht="12.75" customHeight="1">
      <c r="A469" s="63"/>
      <c r="B469" s="64"/>
      <c r="C469" s="35"/>
      <c r="D469" s="41"/>
      <c r="E469" s="35"/>
    </row>
    <row r="470" ht="12.75" customHeight="1">
      <c r="A470" s="63"/>
      <c r="B470" s="64"/>
      <c r="C470" s="35"/>
      <c r="D470" s="41"/>
      <c r="E470" s="35"/>
    </row>
    <row r="471" ht="12.75" customHeight="1">
      <c r="A471" s="63"/>
      <c r="B471" s="64"/>
      <c r="C471" s="35"/>
      <c r="D471" s="41"/>
      <c r="E471" s="35"/>
    </row>
    <row r="472" ht="12.75" customHeight="1">
      <c r="A472" s="63"/>
      <c r="B472" s="64"/>
      <c r="C472" s="35"/>
      <c r="D472" s="41"/>
      <c r="E472" s="35"/>
    </row>
    <row r="473" ht="12.75" customHeight="1">
      <c r="A473" s="63"/>
      <c r="B473" s="64"/>
      <c r="C473" s="35"/>
      <c r="D473" s="41"/>
      <c r="E473" s="35"/>
    </row>
    <row r="474" ht="12.75" customHeight="1">
      <c r="A474" s="63"/>
      <c r="B474" s="64"/>
      <c r="C474" s="35"/>
      <c r="D474" s="41"/>
      <c r="E474" s="35"/>
    </row>
    <row r="475" ht="12.75" customHeight="1">
      <c r="A475" s="63"/>
      <c r="B475" s="64"/>
      <c r="C475" s="35"/>
      <c r="D475" s="41"/>
      <c r="E475" s="35"/>
    </row>
    <row r="476" ht="12.75" customHeight="1">
      <c r="A476" s="63"/>
      <c r="B476" s="64"/>
      <c r="C476" s="35"/>
      <c r="D476" s="41"/>
      <c r="E476" s="35"/>
    </row>
    <row r="477" ht="12.75" customHeight="1">
      <c r="A477" s="63"/>
      <c r="B477" s="64"/>
      <c r="C477" s="35"/>
      <c r="D477" s="41"/>
      <c r="E477" s="35"/>
    </row>
    <row r="478" ht="12.75" customHeight="1">
      <c r="A478" s="63"/>
      <c r="B478" s="64"/>
      <c r="C478" s="35"/>
      <c r="D478" s="41"/>
      <c r="E478" s="35"/>
    </row>
    <row r="479" ht="12.75" customHeight="1">
      <c r="A479" s="63"/>
      <c r="B479" s="64"/>
      <c r="C479" s="35"/>
      <c r="D479" s="41"/>
      <c r="E479" s="35"/>
    </row>
    <row r="480" ht="12.75" customHeight="1">
      <c r="A480" s="63"/>
      <c r="B480" s="64"/>
      <c r="C480" s="35"/>
      <c r="D480" s="41"/>
      <c r="E480" s="35"/>
    </row>
    <row r="481" ht="12.75" customHeight="1">
      <c r="A481" s="63"/>
      <c r="B481" s="64"/>
      <c r="C481" s="35"/>
      <c r="D481" s="41"/>
      <c r="E481" s="35"/>
    </row>
    <row r="482" ht="12.75" customHeight="1">
      <c r="A482" s="63"/>
      <c r="B482" s="64"/>
      <c r="C482" s="35"/>
      <c r="D482" s="41"/>
      <c r="E482" s="35"/>
    </row>
    <row r="483" ht="12.75" customHeight="1">
      <c r="A483" s="63"/>
      <c r="B483" s="64"/>
      <c r="C483" s="35"/>
      <c r="D483" s="41"/>
      <c r="E483" s="35"/>
    </row>
    <row r="484" ht="12.75" customHeight="1">
      <c r="A484" s="63"/>
      <c r="B484" s="64"/>
      <c r="C484" s="35"/>
      <c r="D484" s="41"/>
      <c r="E484" s="35"/>
    </row>
    <row r="485" ht="12.75" customHeight="1">
      <c r="A485" s="63"/>
      <c r="B485" s="64"/>
      <c r="C485" s="35"/>
      <c r="D485" s="41"/>
      <c r="E485" s="35"/>
    </row>
    <row r="486" ht="12.75" customHeight="1">
      <c r="A486" s="63"/>
      <c r="B486" s="64"/>
      <c r="C486" s="35"/>
      <c r="D486" s="41"/>
      <c r="E486" s="35"/>
    </row>
    <row r="487" ht="12.75" customHeight="1">
      <c r="A487" s="63"/>
      <c r="B487" s="64"/>
      <c r="C487" s="35"/>
      <c r="D487" s="41"/>
      <c r="E487" s="35"/>
    </row>
    <row r="488" ht="12.75" customHeight="1">
      <c r="A488" s="63"/>
      <c r="B488" s="64"/>
      <c r="C488" s="35"/>
      <c r="D488" s="41"/>
      <c r="E488" s="35"/>
    </row>
    <row r="489" ht="12.75" customHeight="1">
      <c r="A489" s="63"/>
      <c r="B489" s="64"/>
      <c r="C489" s="35"/>
      <c r="D489" s="41"/>
      <c r="E489" s="35"/>
    </row>
    <row r="490" ht="12.75" customHeight="1">
      <c r="A490" s="63"/>
      <c r="B490" s="64"/>
      <c r="C490" s="35"/>
      <c r="D490" s="41"/>
      <c r="E490" s="35"/>
    </row>
    <row r="491" ht="12.75" customHeight="1">
      <c r="A491" s="63"/>
      <c r="B491" s="64"/>
      <c r="C491" s="35"/>
      <c r="D491" s="41"/>
      <c r="E491" s="35"/>
    </row>
    <row r="492" ht="12.75" customHeight="1">
      <c r="A492" s="63"/>
      <c r="B492" s="64"/>
      <c r="C492" s="35"/>
      <c r="D492" s="41"/>
      <c r="E492" s="35"/>
    </row>
    <row r="493" ht="12.75" customHeight="1">
      <c r="A493" s="63"/>
      <c r="B493" s="64"/>
      <c r="C493" s="35"/>
      <c r="D493" s="41"/>
      <c r="E493" s="35"/>
    </row>
    <row r="494" ht="12.75" customHeight="1">
      <c r="A494" s="63"/>
      <c r="B494" s="64"/>
      <c r="C494" s="35"/>
      <c r="D494" s="41"/>
      <c r="E494" s="35"/>
    </row>
    <row r="495" ht="12.75" customHeight="1">
      <c r="A495" s="63"/>
      <c r="B495" s="64"/>
      <c r="C495" s="35"/>
      <c r="D495" s="41"/>
      <c r="E495" s="35"/>
    </row>
    <row r="496" ht="12.75" customHeight="1">
      <c r="A496" s="63"/>
      <c r="B496" s="64"/>
      <c r="C496" s="35"/>
      <c r="D496" s="41"/>
      <c r="E496" s="35"/>
    </row>
    <row r="497" ht="12.75" customHeight="1">
      <c r="A497" s="63"/>
      <c r="B497" s="64"/>
      <c r="C497" s="35"/>
      <c r="D497" s="41"/>
      <c r="E497" s="35"/>
    </row>
    <row r="498" ht="12.75" customHeight="1">
      <c r="A498" s="63"/>
      <c r="B498" s="64"/>
      <c r="C498" s="35"/>
      <c r="D498" s="41"/>
      <c r="E498" s="35"/>
    </row>
    <row r="499" ht="12.75" customHeight="1">
      <c r="A499" s="63"/>
      <c r="B499" s="64"/>
      <c r="C499" s="35"/>
      <c r="D499" s="41"/>
      <c r="E499" s="35"/>
    </row>
    <row r="500" ht="12.75" customHeight="1">
      <c r="A500" s="63"/>
      <c r="B500" s="64"/>
      <c r="C500" s="35"/>
      <c r="D500" s="41"/>
      <c r="E500" s="35"/>
    </row>
    <row r="501" ht="12.75" customHeight="1">
      <c r="A501" s="63"/>
      <c r="B501" s="64"/>
      <c r="C501" s="35"/>
      <c r="D501" s="41"/>
      <c r="E501" s="35"/>
    </row>
    <row r="502" ht="12.75" customHeight="1">
      <c r="A502" s="63"/>
      <c r="B502" s="64"/>
      <c r="C502" s="35"/>
      <c r="D502" s="41"/>
      <c r="E502" s="35"/>
    </row>
    <row r="503" ht="12.75" customHeight="1">
      <c r="A503" s="63"/>
      <c r="B503" s="64"/>
      <c r="C503" s="35"/>
      <c r="D503" s="41"/>
      <c r="E503" s="35"/>
    </row>
    <row r="504" ht="12.75" customHeight="1">
      <c r="A504" s="63"/>
      <c r="B504" s="64"/>
      <c r="C504" s="35"/>
      <c r="D504" s="41"/>
      <c r="E504" s="35"/>
    </row>
    <row r="505" ht="12.75" customHeight="1">
      <c r="A505" s="63"/>
      <c r="B505" s="64"/>
      <c r="C505" s="35"/>
      <c r="D505" s="41"/>
      <c r="E505" s="35"/>
    </row>
    <row r="506" ht="12.75" customHeight="1">
      <c r="A506" s="63"/>
      <c r="B506" s="64"/>
      <c r="C506" s="35"/>
      <c r="D506" s="41"/>
      <c r="E506" s="35"/>
    </row>
    <row r="507" ht="12.75" customHeight="1">
      <c r="A507" s="63"/>
      <c r="B507" s="64"/>
      <c r="C507" s="35"/>
      <c r="D507" s="41"/>
      <c r="E507" s="35"/>
    </row>
    <row r="508" ht="12.75" customHeight="1">
      <c r="A508" s="63"/>
      <c r="B508" s="64"/>
      <c r="C508" s="35"/>
      <c r="D508" s="41"/>
      <c r="E508" s="35"/>
    </row>
    <row r="509" ht="12.75" customHeight="1">
      <c r="A509" s="63"/>
      <c r="B509" s="64"/>
      <c r="C509" s="35"/>
      <c r="D509" s="41"/>
      <c r="E509" s="35"/>
    </row>
    <row r="510" ht="12.75" customHeight="1">
      <c r="A510" s="63"/>
      <c r="B510" s="64"/>
      <c r="C510" s="35"/>
      <c r="D510" s="41"/>
      <c r="E510" s="35"/>
    </row>
    <row r="511" ht="12.75" customHeight="1">
      <c r="A511" s="63"/>
      <c r="B511" s="64"/>
      <c r="C511" s="35"/>
      <c r="D511" s="41"/>
      <c r="E511" s="35"/>
    </row>
    <row r="512" ht="12.75" customHeight="1">
      <c r="A512" s="63"/>
      <c r="B512" s="64"/>
      <c r="C512" s="35"/>
      <c r="D512" s="41"/>
      <c r="E512" s="35"/>
    </row>
    <row r="513" ht="12.75" customHeight="1">
      <c r="A513" s="63"/>
      <c r="B513" s="64"/>
      <c r="C513" s="35"/>
      <c r="D513" s="41"/>
      <c r="E513" s="35"/>
    </row>
    <row r="514" ht="12.75" customHeight="1">
      <c r="A514" s="63"/>
      <c r="B514" s="64"/>
      <c r="C514" s="35"/>
      <c r="D514" s="41"/>
      <c r="E514" s="35"/>
    </row>
    <row r="515" ht="12.75" customHeight="1">
      <c r="A515" s="63"/>
      <c r="B515" s="64"/>
      <c r="C515" s="35"/>
      <c r="D515" s="41"/>
      <c r="E515" s="35"/>
    </row>
    <row r="516" ht="12.75" customHeight="1">
      <c r="A516" s="63"/>
      <c r="B516" s="64"/>
      <c r="C516" s="35"/>
      <c r="D516" s="41"/>
      <c r="E516" s="35"/>
    </row>
    <row r="517" ht="12.75" customHeight="1">
      <c r="A517" s="63"/>
      <c r="B517" s="64"/>
      <c r="C517" s="35"/>
      <c r="D517" s="41"/>
      <c r="E517" s="35"/>
    </row>
    <row r="518" ht="12.75" customHeight="1">
      <c r="A518" s="63"/>
      <c r="B518" s="64"/>
      <c r="C518" s="35"/>
      <c r="D518" s="41"/>
      <c r="E518" s="35"/>
    </row>
    <row r="519" ht="12.75" customHeight="1">
      <c r="A519" s="63"/>
      <c r="B519" s="64"/>
      <c r="C519" s="35"/>
      <c r="D519" s="41"/>
      <c r="E519" s="35"/>
    </row>
    <row r="520" ht="12.75" customHeight="1">
      <c r="A520" s="63"/>
      <c r="B520" s="64"/>
      <c r="C520" s="35"/>
      <c r="D520" s="41"/>
      <c r="E520" s="35"/>
    </row>
    <row r="521" ht="12.75" customHeight="1">
      <c r="A521" s="63"/>
      <c r="B521" s="64"/>
      <c r="C521" s="35"/>
      <c r="D521" s="41"/>
      <c r="E521" s="35"/>
    </row>
    <row r="522" ht="12.75" customHeight="1">
      <c r="A522" s="63"/>
      <c r="B522" s="64"/>
      <c r="C522" s="35"/>
      <c r="D522" s="41"/>
      <c r="E522" s="35"/>
    </row>
    <row r="523" ht="12.75" customHeight="1">
      <c r="A523" s="63"/>
      <c r="B523" s="64"/>
      <c r="C523" s="35"/>
      <c r="D523" s="41"/>
      <c r="E523" s="35"/>
    </row>
    <row r="524" ht="12.75" customHeight="1">
      <c r="A524" s="63"/>
      <c r="B524" s="64"/>
      <c r="C524" s="35"/>
      <c r="D524" s="41"/>
      <c r="E524" s="35"/>
    </row>
    <row r="525" ht="12.75" customHeight="1">
      <c r="A525" s="63"/>
      <c r="B525" s="64"/>
      <c r="C525" s="35"/>
      <c r="D525" s="41"/>
      <c r="E525" s="35"/>
    </row>
    <row r="526" ht="12.75" customHeight="1">
      <c r="A526" s="63"/>
      <c r="B526" s="64"/>
      <c r="C526" s="35"/>
      <c r="D526" s="41"/>
      <c r="E526" s="35"/>
    </row>
    <row r="527" ht="12.75" customHeight="1">
      <c r="A527" s="63"/>
      <c r="B527" s="64"/>
      <c r="C527" s="35"/>
      <c r="D527" s="41"/>
      <c r="E527" s="35"/>
    </row>
    <row r="528" ht="12.75" customHeight="1">
      <c r="A528" s="63"/>
      <c r="B528" s="64"/>
      <c r="C528" s="35"/>
      <c r="D528" s="41"/>
      <c r="E528" s="35"/>
    </row>
    <row r="529" ht="12.75" customHeight="1">
      <c r="A529" s="63"/>
      <c r="B529" s="64"/>
      <c r="C529" s="35"/>
      <c r="D529" s="41"/>
      <c r="E529" s="35"/>
    </row>
    <row r="530" ht="12.75" customHeight="1">
      <c r="A530" s="63"/>
      <c r="B530" s="64"/>
      <c r="C530" s="35"/>
      <c r="D530" s="41"/>
      <c r="E530" s="35"/>
    </row>
    <row r="531" ht="12.75" customHeight="1">
      <c r="A531" s="63"/>
      <c r="B531" s="64"/>
      <c r="C531" s="35"/>
      <c r="D531" s="41"/>
      <c r="E531" s="35"/>
    </row>
    <row r="532" ht="12.75" customHeight="1">
      <c r="A532" s="63"/>
      <c r="B532" s="64"/>
      <c r="C532" s="35"/>
      <c r="D532" s="41"/>
      <c r="E532" s="35"/>
    </row>
    <row r="533" ht="12.75" customHeight="1">
      <c r="A533" s="63"/>
      <c r="B533" s="64"/>
      <c r="C533" s="35"/>
      <c r="D533" s="41"/>
      <c r="E533" s="35"/>
    </row>
    <row r="534" ht="12.75" customHeight="1">
      <c r="A534" s="63"/>
      <c r="B534" s="64"/>
      <c r="C534" s="35"/>
      <c r="D534" s="41"/>
      <c r="E534" s="35"/>
    </row>
    <row r="535" ht="12.75" customHeight="1">
      <c r="A535" s="63"/>
      <c r="B535" s="64"/>
      <c r="C535" s="35"/>
      <c r="D535" s="41"/>
      <c r="E535" s="35"/>
    </row>
    <row r="536" ht="12.75" customHeight="1">
      <c r="A536" s="63"/>
      <c r="B536" s="64"/>
      <c r="C536" s="35"/>
      <c r="D536" s="41"/>
      <c r="E536" s="35"/>
    </row>
    <row r="537" ht="12.75" customHeight="1">
      <c r="A537" s="63"/>
      <c r="B537" s="64"/>
      <c r="C537" s="35"/>
      <c r="D537" s="41"/>
      <c r="E537" s="35"/>
    </row>
    <row r="538" ht="12.75" customHeight="1">
      <c r="A538" s="63"/>
      <c r="B538" s="64"/>
      <c r="C538" s="35"/>
      <c r="D538" s="41"/>
      <c r="E538" s="35"/>
    </row>
    <row r="539" ht="12.75" customHeight="1">
      <c r="A539" s="63"/>
      <c r="B539" s="64"/>
      <c r="C539" s="35"/>
      <c r="D539" s="41"/>
      <c r="E539" s="35"/>
    </row>
    <row r="540" ht="12.75" customHeight="1">
      <c r="A540" s="63"/>
      <c r="B540" s="64"/>
      <c r="C540" s="35"/>
      <c r="D540" s="41"/>
      <c r="E540" s="35"/>
    </row>
    <row r="541" ht="12.75" customHeight="1">
      <c r="A541" s="63"/>
      <c r="B541" s="64"/>
      <c r="C541" s="35"/>
      <c r="D541" s="41"/>
      <c r="E541" s="35"/>
    </row>
    <row r="542" ht="12.75" customHeight="1">
      <c r="A542" s="63"/>
      <c r="B542" s="64"/>
      <c r="C542" s="35"/>
      <c r="D542" s="41"/>
      <c r="E542" s="35"/>
    </row>
    <row r="543" ht="12.75" customHeight="1">
      <c r="A543" s="63"/>
      <c r="B543" s="64"/>
      <c r="C543" s="35"/>
      <c r="D543" s="41"/>
      <c r="E543" s="35"/>
    </row>
    <row r="544" ht="12.75" customHeight="1">
      <c r="A544" s="63"/>
      <c r="B544" s="64"/>
      <c r="C544" s="35"/>
      <c r="D544" s="41"/>
      <c r="E544" s="35"/>
    </row>
    <row r="545" ht="12.75" customHeight="1">
      <c r="A545" s="63"/>
      <c r="B545" s="64"/>
      <c r="C545" s="35"/>
      <c r="D545" s="41"/>
      <c r="E545" s="35"/>
    </row>
    <row r="546" ht="12.75" customHeight="1">
      <c r="A546" s="63"/>
      <c r="B546" s="64"/>
      <c r="C546" s="35"/>
      <c r="D546" s="41"/>
      <c r="E546" s="35"/>
    </row>
    <row r="547" ht="12.75" customHeight="1">
      <c r="A547" s="63"/>
      <c r="B547" s="64"/>
      <c r="C547" s="35"/>
      <c r="D547" s="41"/>
      <c r="E547" s="35"/>
    </row>
    <row r="548" ht="12.75" customHeight="1">
      <c r="A548" s="63"/>
      <c r="B548" s="64"/>
      <c r="C548" s="35"/>
      <c r="D548" s="41"/>
      <c r="E548" s="35"/>
    </row>
    <row r="549" ht="12.75" customHeight="1">
      <c r="A549" s="63"/>
      <c r="B549" s="64"/>
      <c r="C549" s="35"/>
      <c r="D549" s="41"/>
      <c r="E549" s="35"/>
    </row>
    <row r="550" ht="12.75" customHeight="1">
      <c r="A550" s="63"/>
      <c r="B550" s="64"/>
      <c r="C550" s="35"/>
      <c r="D550" s="41"/>
      <c r="E550" s="35"/>
    </row>
    <row r="551" ht="12.75" customHeight="1">
      <c r="A551" s="63"/>
      <c r="B551" s="64"/>
      <c r="C551" s="35"/>
      <c r="D551" s="41"/>
      <c r="E551" s="35"/>
    </row>
    <row r="552" ht="12.75" customHeight="1">
      <c r="A552" s="63"/>
      <c r="B552" s="64"/>
      <c r="C552" s="35"/>
      <c r="D552" s="41"/>
      <c r="E552" s="35"/>
    </row>
    <row r="553" ht="12.75" customHeight="1">
      <c r="A553" s="63"/>
      <c r="B553" s="64"/>
      <c r="C553" s="35"/>
      <c r="D553" s="41"/>
      <c r="E553" s="35"/>
    </row>
    <row r="554" ht="12.75" customHeight="1">
      <c r="A554" s="63"/>
      <c r="B554" s="64"/>
      <c r="C554" s="35"/>
      <c r="D554" s="41"/>
      <c r="E554" s="35"/>
    </row>
    <row r="555" ht="12.75" customHeight="1">
      <c r="A555" s="63"/>
      <c r="B555" s="64"/>
      <c r="C555" s="35"/>
      <c r="D555" s="41"/>
      <c r="E555" s="35"/>
    </row>
    <row r="556" ht="12.75" customHeight="1">
      <c r="A556" s="63"/>
      <c r="B556" s="64"/>
      <c r="C556" s="35"/>
      <c r="D556" s="41"/>
      <c r="E556" s="35"/>
    </row>
    <row r="557" ht="12.75" customHeight="1">
      <c r="A557" s="63"/>
      <c r="B557" s="64"/>
      <c r="C557" s="35"/>
      <c r="D557" s="41"/>
      <c r="E557" s="35"/>
    </row>
    <row r="558" ht="12.75" customHeight="1">
      <c r="A558" s="63"/>
      <c r="B558" s="64"/>
      <c r="C558" s="35"/>
      <c r="D558" s="41"/>
      <c r="E558" s="35"/>
    </row>
    <row r="559" ht="12.75" customHeight="1">
      <c r="A559" s="63"/>
      <c r="B559" s="64"/>
      <c r="C559" s="35"/>
      <c r="D559" s="41"/>
      <c r="E559" s="35"/>
    </row>
    <row r="560" ht="12.75" customHeight="1">
      <c r="A560" s="63"/>
      <c r="B560" s="64"/>
      <c r="C560" s="35"/>
      <c r="D560" s="41"/>
      <c r="E560" s="35"/>
    </row>
    <row r="561" ht="12.75" customHeight="1">
      <c r="A561" s="63"/>
      <c r="B561" s="64"/>
      <c r="C561" s="35"/>
      <c r="D561" s="41"/>
      <c r="E561" s="35"/>
    </row>
    <row r="562" ht="12.75" customHeight="1">
      <c r="A562" s="63"/>
      <c r="B562" s="64"/>
      <c r="C562" s="35"/>
      <c r="D562" s="41"/>
      <c r="E562" s="35"/>
    </row>
    <row r="563" ht="12.75" customHeight="1">
      <c r="A563" s="63"/>
      <c r="B563" s="64"/>
      <c r="C563" s="35"/>
      <c r="D563" s="41"/>
      <c r="E563" s="35"/>
    </row>
    <row r="564" ht="12.75" customHeight="1">
      <c r="A564" s="63"/>
      <c r="B564" s="64"/>
      <c r="C564" s="35"/>
      <c r="D564" s="41"/>
      <c r="E564" s="35"/>
    </row>
    <row r="565" ht="12.75" customHeight="1">
      <c r="A565" s="63"/>
      <c r="B565" s="64"/>
      <c r="C565" s="35"/>
      <c r="D565" s="41"/>
      <c r="E565" s="35"/>
    </row>
    <row r="566" ht="12.75" customHeight="1">
      <c r="A566" s="63"/>
      <c r="B566" s="64"/>
      <c r="C566" s="35"/>
      <c r="D566" s="41"/>
      <c r="E566" s="35"/>
    </row>
    <row r="567" ht="12.75" customHeight="1">
      <c r="A567" s="63"/>
      <c r="B567" s="64"/>
      <c r="C567" s="35"/>
      <c r="D567" s="41"/>
      <c r="E567" s="35"/>
    </row>
    <row r="568" ht="12.75" customHeight="1">
      <c r="A568" s="63"/>
      <c r="B568" s="64"/>
      <c r="C568" s="35"/>
      <c r="D568" s="41"/>
      <c r="E568" s="35"/>
    </row>
    <row r="569" ht="12.75" customHeight="1">
      <c r="A569" s="63"/>
      <c r="B569" s="64"/>
      <c r="C569" s="35"/>
      <c r="D569" s="41"/>
      <c r="E569" s="35"/>
    </row>
    <row r="570" ht="12.75" customHeight="1">
      <c r="A570" s="63"/>
      <c r="B570" s="64"/>
      <c r="C570" s="35"/>
      <c r="D570" s="41"/>
      <c r="E570" s="35"/>
    </row>
    <row r="571" ht="12.75" customHeight="1">
      <c r="A571" s="63"/>
      <c r="B571" s="64"/>
      <c r="C571" s="35"/>
      <c r="D571" s="41"/>
      <c r="E571" s="35"/>
    </row>
    <row r="572" ht="12.75" customHeight="1">
      <c r="A572" s="63"/>
      <c r="B572" s="64"/>
      <c r="C572" s="35"/>
      <c r="D572" s="41"/>
      <c r="E572" s="35"/>
    </row>
    <row r="573" ht="12.75" customHeight="1">
      <c r="A573" s="63"/>
      <c r="B573" s="64"/>
      <c r="C573" s="35"/>
      <c r="D573" s="41"/>
      <c r="E573" s="35"/>
    </row>
    <row r="574" ht="12.75" customHeight="1">
      <c r="A574" s="63"/>
      <c r="B574" s="64"/>
      <c r="C574" s="35"/>
      <c r="D574" s="41"/>
      <c r="E574" s="35"/>
    </row>
    <row r="575" ht="12.75" customHeight="1">
      <c r="A575" s="63"/>
      <c r="B575" s="64"/>
      <c r="C575" s="35"/>
      <c r="D575" s="41"/>
      <c r="E575" s="35"/>
    </row>
    <row r="576" ht="12.75" customHeight="1">
      <c r="A576" s="63"/>
      <c r="B576" s="64"/>
      <c r="C576" s="35"/>
      <c r="D576" s="41"/>
      <c r="E576" s="35"/>
    </row>
    <row r="577" ht="12.75" customHeight="1">
      <c r="A577" s="63"/>
      <c r="B577" s="64"/>
      <c r="C577" s="35"/>
      <c r="D577" s="41"/>
      <c r="E577" s="35"/>
    </row>
    <row r="578" ht="12.75" customHeight="1">
      <c r="A578" s="63"/>
      <c r="B578" s="64"/>
      <c r="C578" s="35"/>
      <c r="D578" s="41"/>
      <c r="E578" s="35"/>
    </row>
    <row r="579" ht="12.75" customHeight="1">
      <c r="A579" s="63"/>
      <c r="B579" s="64"/>
      <c r="C579" s="35"/>
      <c r="D579" s="41"/>
      <c r="E579" s="35"/>
    </row>
    <row r="580" ht="12.75" customHeight="1">
      <c r="A580" s="63"/>
      <c r="B580" s="64"/>
      <c r="C580" s="35"/>
      <c r="D580" s="41"/>
      <c r="E580" s="35"/>
    </row>
    <row r="581" ht="12.75" customHeight="1">
      <c r="A581" s="63"/>
      <c r="B581" s="64"/>
      <c r="C581" s="35"/>
      <c r="D581" s="41"/>
      <c r="E581" s="35"/>
    </row>
    <row r="582" ht="12.75" customHeight="1">
      <c r="A582" s="63"/>
      <c r="B582" s="64"/>
      <c r="C582" s="35"/>
      <c r="D582" s="41"/>
      <c r="E582" s="35"/>
    </row>
    <row r="583" ht="12.75" customHeight="1">
      <c r="A583" s="63"/>
      <c r="B583" s="64"/>
      <c r="C583" s="35"/>
      <c r="D583" s="41"/>
      <c r="E583" s="35"/>
    </row>
    <row r="584" ht="12.75" customHeight="1">
      <c r="A584" s="63"/>
      <c r="B584" s="64"/>
      <c r="C584" s="35"/>
      <c r="D584" s="41"/>
      <c r="E584" s="35"/>
    </row>
    <row r="585" ht="12.75" customHeight="1">
      <c r="A585" s="63"/>
      <c r="B585" s="64"/>
      <c r="C585" s="35"/>
      <c r="D585" s="41"/>
      <c r="E585" s="35"/>
    </row>
    <row r="586" ht="12.75" customHeight="1">
      <c r="A586" s="63"/>
      <c r="B586" s="64"/>
      <c r="C586" s="35"/>
      <c r="D586" s="41"/>
      <c r="E586" s="35"/>
    </row>
    <row r="587" ht="12.75" customHeight="1">
      <c r="A587" s="63"/>
      <c r="B587" s="64"/>
      <c r="C587" s="35"/>
      <c r="D587" s="41"/>
      <c r="E587" s="35"/>
    </row>
    <row r="588" ht="12.75" customHeight="1">
      <c r="A588" s="63"/>
      <c r="B588" s="64"/>
      <c r="C588" s="35"/>
      <c r="D588" s="41"/>
      <c r="E588" s="35"/>
    </row>
    <row r="589" ht="12.75" customHeight="1">
      <c r="A589" s="63"/>
      <c r="B589" s="64"/>
      <c r="C589" s="35"/>
      <c r="D589" s="41"/>
      <c r="E589" s="35"/>
    </row>
    <row r="590" ht="12.75" customHeight="1">
      <c r="A590" s="63"/>
      <c r="B590" s="64"/>
      <c r="C590" s="35"/>
      <c r="D590" s="41"/>
      <c r="E590" s="35"/>
    </row>
    <row r="591" ht="12.75" customHeight="1">
      <c r="A591" s="63"/>
      <c r="B591" s="64"/>
      <c r="C591" s="35"/>
      <c r="D591" s="41"/>
      <c r="E591" s="35"/>
    </row>
    <row r="592" ht="12.75" customHeight="1">
      <c r="A592" s="63"/>
      <c r="B592" s="64"/>
      <c r="C592" s="35"/>
      <c r="D592" s="41"/>
      <c r="E592" s="35"/>
    </row>
    <row r="593" ht="12.75" customHeight="1">
      <c r="A593" s="63"/>
      <c r="B593" s="64"/>
      <c r="C593" s="35"/>
      <c r="D593" s="41"/>
      <c r="E593" s="35"/>
    </row>
    <row r="594" ht="12.75" customHeight="1">
      <c r="A594" s="63"/>
      <c r="B594" s="64"/>
      <c r="C594" s="35"/>
      <c r="D594" s="41"/>
      <c r="E594" s="35"/>
    </row>
    <row r="595" ht="12.75" customHeight="1">
      <c r="A595" s="63"/>
      <c r="B595" s="64"/>
      <c r="C595" s="35"/>
      <c r="D595" s="41"/>
      <c r="E595" s="35"/>
    </row>
    <row r="596" ht="12.75" customHeight="1">
      <c r="A596" s="63"/>
      <c r="B596" s="64"/>
      <c r="C596" s="35"/>
      <c r="D596" s="41"/>
      <c r="E596" s="35"/>
    </row>
    <row r="597" ht="12.75" customHeight="1">
      <c r="A597" s="63"/>
      <c r="B597" s="64"/>
      <c r="C597" s="35"/>
      <c r="D597" s="41"/>
      <c r="E597" s="35"/>
    </row>
    <row r="598" ht="12.75" customHeight="1">
      <c r="A598" s="63"/>
      <c r="B598" s="64"/>
      <c r="C598" s="35"/>
      <c r="D598" s="41"/>
      <c r="E598" s="35"/>
    </row>
    <row r="599" ht="12.75" customHeight="1">
      <c r="A599" s="63"/>
      <c r="B599" s="64"/>
      <c r="C599" s="35"/>
      <c r="D599" s="41"/>
      <c r="E599" s="35"/>
    </row>
    <row r="600" ht="12.75" customHeight="1">
      <c r="A600" s="63"/>
      <c r="B600" s="64"/>
      <c r="C600" s="35"/>
      <c r="D600" s="41"/>
      <c r="E600" s="35"/>
    </row>
    <row r="601" ht="12.75" customHeight="1">
      <c r="A601" s="63"/>
      <c r="B601" s="64"/>
      <c r="C601" s="35"/>
      <c r="D601" s="41"/>
      <c r="E601" s="35"/>
    </row>
    <row r="602" ht="12.75" customHeight="1">
      <c r="A602" s="63"/>
      <c r="B602" s="64"/>
      <c r="C602" s="35"/>
      <c r="D602" s="41"/>
      <c r="E602" s="35"/>
    </row>
    <row r="603" ht="12.75" customHeight="1">
      <c r="A603" s="63"/>
      <c r="B603" s="64"/>
      <c r="C603" s="35"/>
      <c r="D603" s="41"/>
      <c r="E603" s="35"/>
    </row>
    <row r="604" ht="12.75" customHeight="1">
      <c r="A604" s="63"/>
      <c r="B604" s="64"/>
      <c r="C604" s="35"/>
      <c r="D604" s="41"/>
      <c r="E604" s="35"/>
    </row>
    <row r="605" ht="12.75" customHeight="1">
      <c r="A605" s="63"/>
      <c r="B605" s="64"/>
      <c r="C605" s="35"/>
      <c r="D605" s="41"/>
      <c r="E605" s="35"/>
    </row>
    <row r="606" ht="12.75" customHeight="1">
      <c r="A606" s="63"/>
      <c r="B606" s="64"/>
      <c r="C606" s="35"/>
      <c r="D606" s="41"/>
      <c r="E606" s="35"/>
    </row>
    <row r="607" ht="12.75" customHeight="1">
      <c r="A607" s="63"/>
      <c r="B607" s="64"/>
      <c r="C607" s="35"/>
      <c r="D607" s="41"/>
      <c r="E607" s="35"/>
    </row>
    <row r="608" ht="12.75" customHeight="1">
      <c r="A608" s="63"/>
      <c r="B608" s="64"/>
      <c r="C608" s="35"/>
      <c r="D608" s="41"/>
      <c r="E608" s="35"/>
    </row>
    <row r="609" ht="12.75" customHeight="1">
      <c r="A609" s="63"/>
      <c r="B609" s="64"/>
      <c r="C609" s="35"/>
      <c r="D609" s="41"/>
      <c r="E609" s="35"/>
    </row>
    <row r="610" ht="12.75" customHeight="1">
      <c r="A610" s="63"/>
      <c r="B610" s="64"/>
      <c r="C610" s="35"/>
      <c r="D610" s="41"/>
      <c r="E610" s="35"/>
    </row>
    <row r="611" ht="12.75" customHeight="1">
      <c r="A611" s="63"/>
      <c r="B611" s="64"/>
      <c r="C611" s="35"/>
      <c r="D611" s="41"/>
      <c r="E611" s="35"/>
    </row>
    <row r="612" ht="12.75" customHeight="1">
      <c r="A612" s="63"/>
      <c r="B612" s="64"/>
      <c r="C612" s="35"/>
      <c r="D612" s="41"/>
      <c r="E612" s="35"/>
    </row>
    <row r="613" ht="12.75" customHeight="1">
      <c r="A613" s="63"/>
      <c r="B613" s="64"/>
      <c r="C613" s="35"/>
      <c r="D613" s="41"/>
      <c r="E613" s="35"/>
    </row>
    <row r="614" ht="12.75" customHeight="1">
      <c r="A614" s="63"/>
      <c r="B614" s="64"/>
      <c r="C614" s="35"/>
      <c r="D614" s="41"/>
      <c r="E614" s="35"/>
    </row>
    <row r="615" ht="12.75" customHeight="1">
      <c r="A615" s="63"/>
      <c r="B615" s="64"/>
      <c r="C615" s="35"/>
      <c r="D615" s="41"/>
      <c r="E615" s="35"/>
    </row>
    <row r="616" ht="12.75" customHeight="1">
      <c r="A616" s="63"/>
      <c r="B616" s="64"/>
      <c r="C616" s="35"/>
      <c r="D616" s="41"/>
      <c r="E616" s="35"/>
    </row>
    <row r="617" ht="12.75" customHeight="1">
      <c r="A617" s="63"/>
      <c r="B617" s="64"/>
      <c r="C617" s="35"/>
      <c r="D617" s="41"/>
      <c r="E617" s="35"/>
    </row>
    <row r="618" ht="12.75" customHeight="1">
      <c r="A618" s="63"/>
      <c r="B618" s="64"/>
      <c r="C618" s="35"/>
      <c r="D618" s="41"/>
      <c r="E618" s="35"/>
    </row>
    <row r="619" ht="12.75" customHeight="1">
      <c r="A619" s="63"/>
      <c r="B619" s="64"/>
      <c r="C619" s="35"/>
      <c r="D619" s="41"/>
      <c r="E619" s="35"/>
    </row>
    <row r="620" ht="12.75" customHeight="1">
      <c r="A620" s="63"/>
      <c r="B620" s="64"/>
      <c r="C620" s="35"/>
      <c r="D620" s="41"/>
      <c r="E620" s="35"/>
    </row>
    <row r="621" ht="12.75" customHeight="1">
      <c r="A621" s="63"/>
      <c r="B621" s="64"/>
      <c r="C621" s="35"/>
      <c r="D621" s="41"/>
      <c r="E621" s="35"/>
    </row>
    <row r="622" ht="12.75" customHeight="1">
      <c r="A622" s="63"/>
      <c r="B622" s="64"/>
      <c r="C622" s="35"/>
      <c r="D622" s="41"/>
      <c r="E622" s="35"/>
    </row>
    <row r="623" ht="12.75" customHeight="1">
      <c r="A623" s="63"/>
      <c r="B623" s="64"/>
      <c r="C623" s="35"/>
      <c r="D623" s="41"/>
      <c r="E623" s="35"/>
    </row>
    <row r="624" ht="12.75" customHeight="1">
      <c r="A624" s="63"/>
      <c r="B624" s="64"/>
      <c r="C624" s="35"/>
      <c r="D624" s="41"/>
      <c r="E624" s="35"/>
    </row>
    <row r="625" ht="12.75" customHeight="1">
      <c r="A625" s="63"/>
      <c r="B625" s="64"/>
      <c r="C625" s="35"/>
      <c r="D625" s="41"/>
      <c r="E625" s="35"/>
    </row>
    <row r="626" ht="12.75" customHeight="1">
      <c r="A626" s="63"/>
      <c r="B626" s="64"/>
      <c r="C626" s="35"/>
      <c r="D626" s="41"/>
      <c r="E626" s="35"/>
    </row>
    <row r="627" ht="12.75" customHeight="1">
      <c r="A627" s="63"/>
      <c r="B627" s="64"/>
      <c r="C627" s="35"/>
      <c r="D627" s="41"/>
      <c r="E627" s="35"/>
    </row>
    <row r="628" ht="12.75" customHeight="1">
      <c r="A628" s="63"/>
      <c r="B628" s="64"/>
      <c r="C628" s="35"/>
      <c r="D628" s="41"/>
      <c r="E628" s="35"/>
    </row>
    <row r="629" ht="12.75" customHeight="1">
      <c r="A629" s="63"/>
      <c r="B629" s="64"/>
      <c r="C629" s="35"/>
      <c r="D629" s="41"/>
      <c r="E629" s="35"/>
    </row>
    <row r="630" ht="12.75" customHeight="1">
      <c r="A630" s="63"/>
      <c r="B630" s="64"/>
      <c r="C630" s="35"/>
      <c r="D630" s="41"/>
      <c r="E630" s="35"/>
    </row>
    <row r="631" ht="12.75" customHeight="1">
      <c r="A631" s="63"/>
      <c r="B631" s="64"/>
      <c r="C631" s="35"/>
      <c r="D631" s="41"/>
      <c r="E631" s="35"/>
    </row>
    <row r="632" ht="12.75" customHeight="1">
      <c r="A632" s="63"/>
      <c r="B632" s="64"/>
      <c r="C632" s="35"/>
      <c r="D632" s="41"/>
      <c r="E632" s="35"/>
    </row>
    <row r="633" ht="12.75" customHeight="1">
      <c r="A633" s="63"/>
      <c r="B633" s="64"/>
      <c r="C633" s="35"/>
      <c r="D633" s="41"/>
      <c r="E633" s="35"/>
    </row>
    <row r="634" ht="12.75" customHeight="1">
      <c r="A634" s="63"/>
      <c r="B634" s="64"/>
      <c r="C634" s="35"/>
      <c r="D634" s="41"/>
      <c r="E634" s="35"/>
    </row>
    <row r="635" ht="12.75" customHeight="1">
      <c r="A635" s="63"/>
      <c r="B635" s="64"/>
      <c r="C635" s="35"/>
      <c r="D635" s="41"/>
      <c r="E635" s="35"/>
    </row>
    <row r="636" ht="12.75" customHeight="1">
      <c r="A636" s="63"/>
      <c r="B636" s="64"/>
      <c r="C636" s="35"/>
      <c r="D636" s="41"/>
      <c r="E636" s="35"/>
    </row>
    <row r="637" ht="12.75" customHeight="1">
      <c r="A637" s="63"/>
      <c r="B637" s="64"/>
      <c r="C637" s="35"/>
      <c r="D637" s="41"/>
      <c r="E637" s="35"/>
    </row>
    <row r="638" ht="12.75" customHeight="1">
      <c r="A638" s="63"/>
      <c r="B638" s="64"/>
      <c r="C638" s="35"/>
      <c r="D638" s="41"/>
      <c r="E638" s="35"/>
    </row>
    <row r="639" ht="12.75" customHeight="1">
      <c r="A639" s="63"/>
      <c r="B639" s="64"/>
      <c r="C639" s="35"/>
      <c r="D639" s="41"/>
      <c r="E639" s="35"/>
    </row>
    <row r="640" ht="12.75" customHeight="1">
      <c r="A640" s="63"/>
      <c r="B640" s="64"/>
      <c r="C640" s="35"/>
      <c r="D640" s="41"/>
      <c r="E640" s="35"/>
    </row>
    <row r="641" ht="12.75" customHeight="1">
      <c r="A641" s="63"/>
      <c r="B641" s="64"/>
      <c r="C641" s="35"/>
      <c r="D641" s="41"/>
      <c r="E641" s="35"/>
    </row>
    <row r="642" ht="12.75" customHeight="1">
      <c r="A642" s="63"/>
      <c r="B642" s="64"/>
      <c r="C642" s="35"/>
      <c r="D642" s="41"/>
      <c r="E642" s="35"/>
    </row>
    <row r="643" ht="12.75" customHeight="1">
      <c r="A643" s="63"/>
      <c r="B643" s="64"/>
      <c r="C643" s="35"/>
      <c r="D643" s="41"/>
      <c r="E643" s="35"/>
    </row>
    <row r="644" ht="12.75" customHeight="1">
      <c r="A644" s="63"/>
      <c r="B644" s="64"/>
      <c r="C644" s="35"/>
      <c r="D644" s="41"/>
      <c r="E644" s="35"/>
    </row>
    <row r="645" ht="12.75" customHeight="1">
      <c r="A645" s="63"/>
      <c r="B645" s="64"/>
      <c r="C645" s="35"/>
      <c r="D645" s="41"/>
      <c r="E645" s="35"/>
    </row>
    <row r="646" ht="12.75" customHeight="1">
      <c r="A646" s="63"/>
      <c r="B646" s="64"/>
      <c r="C646" s="35"/>
      <c r="D646" s="41"/>
      <c r="E646" s="35"/>
    </row>
    <row r="647" ht="12.75" customHeight="1">
      <c r="A647" s="63"/>
      <c r="B647" s="64"/>
      <c r="C647" s="35"/>
      <c r="D647" s="41"/>
      <c r="E647" s="35"/>
    </row>
    <row r="648" ht="12.75" customHeight="1">
      <c r="A648" s="63"/>
      <c r="B648" s="64"/>
      <c r="C648" s="35"/>
      <c r="D648" s="41"/>
      <c r="E648" s="35"/>
    </row>
    <row r="649" ht="12.75" customHeight="1">
      <c r="A649" s="63"/>
      <c r="B649" s="64"/>
      <c r="C649" s="35"/>
      <c r="D649" s="41"/>
      <c r="E649" s="35"/>
    </row>
    <row r="650" ht="12.75" customHeight="1">
      <c r="A650" s="63"/>
      <c r="B650" s="64"/>
      <c r="C650" s="35"/>
      <c r="D650" s="41"/>
      <c r="E650" s="35"/>
    </row>
    <row r="651" ht="12.75" customHeight="1">
      <c r="A651" s="63"/>
      <c r="B651" s="64"/>
      <c r="C651" s="35"/>
      <c r="D651" s="41"/>
      <c r="E651" s="35"/>
    </row>
    <row r="652" ht="12.75" customHeight="1">
      <c r="A652" s="63"/>
      <c r="B652" s="64"/>
      <c r="C652" s="35"/>
      <c r="D652" s="41"/>
      <c r="E652" s="35"/>
    </row>
    <row r="653" ht="12.75" customHeight="1">
      <c r="A653" s="63"/>
      <c r="B653" s="64"/>
      <c r="C653" s="35"/>
      <c r="D653" s="41"/>
      <c r="E653" s="35"/>
    </row>
    <row r="654" ht="12.75" customHeight="1">
      <c r="A654" s="63"/>
      <c r="B654" s="64"/>
      <c r="C654" s="35"/>
      <c r="D654" s="41"/>
      <c r="E654" s="35"/>
    </row>
    <row r="655" ht="12.75" customHeight="1">
      <c r="A655" s="63"/>
      <c r="B655" s="64"/>
      <c r="C655" s="35"/>
      <c r="D655" s="41"/>
      <c r="E655" s="35"/>
    </row>
    <row r="656" ht="12.75" customHeight="1">
      <c r="A656" s="63"/>
      <c r="B656" s="64"/>
      <c r="C656" s="35"/>
      <c r="D656" s="41"/>
      <c r="E656" s="35"/>
    </row>
    <row r="657" ht="12.75" customHeight="1">
      <c r="A657" s="63"/>
      <c r="B657" s="64"/>
      <c r="C657" s="35"/>
      <c r="D657" s="41"/>
      <c r="E657" s="35"/>
    </row>
    <row r="658" ht="12.75" customHeight="1">
      <c r="A658" s="63"/>
      <c r="B658" s="64"/>
      <c r="C658" s="35"/>
      <c r="D658" s="41"/>
      <c r="E658" s="35"/>
    </row>
    <row r="659" ht="12.75" customHeight="1">
      <c r="A659" s="63"/>
      <c r="B659" s="64"/>
      <c r="C659" s="35"/>
      <c r="D659" s="41"/>
      <c r="E659" s="35"/>
    </row>
    <row r="660" ht="12.75" customHeight="1">
      <c r="A660" s="63"/>
      <c r="B660" s="64"/>
      <c r="C660" s="35"/>
      <c r="D660" s="41"/>
      <c r="E660" s="35"/>
    </row>
    <row r="661" ht="12.75" customHeight="1">
      <c r="A661" s="63"/>
      <c r="B661" s="64"/>
      <c r="C661" s="35"/>
      <c r="D661" s="41"/>
      <c r="E661" s="35"/>
    </row>
    <row r="662" ht="12.75" customHeight="1">
      <c r="A662" s="63"/>
      <c r="B662" s="64"/>
      <c r="C662" s="35"/>
      <c r="D662" s="41"/>
      <c r="E662" s="35"/>
    </row>
    <row r="663" ht="12.75" customHeight="1">
      <c r="A663" s="63"/>
      <c r="B663" s="64"/>
      <c r="C663" s="35"/>
      <c r="D663" s="41"/>
      <c r="E663" s="35"/>
    </row>
    <row r="664" ht="12.75" customHeight="1">
      <c r="A664" s="63"/>
      <c r="B664" s="64"/>
      <c r="C664" s="35"/>
      <c r="D664" s="41"/>
      <c r="E664" s="35"/>
    </row>
    <row r="665" ht="12.75" customHeight="1">
      <c r="A665" s="63"/>
      <c r="B665" s="64"/>
      <c r="C665" s="35"/>
      <c r="D665" s="41"/>
      <c r="E665" s="35"/>
    </row>
    <row r="666" ht="12.75" customHeight="1">
      <c r="A666" s="63"/>
      <c r="B666" s="64"/>
      <c r="C666" s="35"/>
      <c r="D666" s="41"/>
      <c r="E666" s="35"/>
    </row>
    <row r="667" ht="12.75" customHeight="1">
      <c r="A667" s="63"/>
      <c r="B667" s="64"/>
      <c r="C667" s="35"/>
      <c r="D667" s="41"/>
      <c r="E667" s="35"/>
    </row>
    <row r="668" ht="12.75" customHeight="1">
      <c r="A668" s="63"/>
      <c r="B668" s="64"/>
      <c r="C668" s="35"/>
      <c r="D668" s="41"/>
      <c r="E668" s="35"/>
    </row>
    <row r="669" ht="12.75" customHeight="1">
      <c r="A669" s="63"/>
      <c r="B669" s="64"/>
      <c r="C669" s="35"/>
      <c r="D669" s="41"/>
      <c r="E669" s="35"/>
    </row>
    <row r="670" ht="12.75" customHeight="1">
      <c r="A670" s="63"/>
      <c r="B670" s="64"/>
      <c r="C670" s="35"/>
      <c r="D670" s="41"/>
      <c r="E670" s="35"/>
    </row>
    <row r="671" ht="12.75" customHeight="1">
      <c r="A671" s="63"/>
      <c r="B671" s="64"/>
      <c r="C671" s="35"/>
      <c r="D671" s="41"/>
      <c r="E671" s="35"/>
    </row>
    <row r="672" ht="12.75" customHeight="1">
      <c r="A672" s="63"/>
      <c r="B672" s="64"/>
      <c r="C672" s="35"/>
      <c r="D672" s="41"/>
      <c r="E672" s="35"/>
    </row>
    <row r="673" ht="12.75" customHeight="1">
      <c r="A673" s="63"/>
      <c r="B673" s="64"/>
      <c r="C673" s="35"/>
      <c r="D673" s="41"/>
      <c r="E673" s="35"/>
    </row>
    <row r="674" ht="12.75" customHeight="1">
      <c r="A674" s="63"/>
      <c r="B674" s="64"/>
      <c r="C674" s="35"/>
      <c r="D674" s="41"/>
      <c r="E674" s="35"/>
    </row>
    <row r="675" ht="12.75" customHeight="1">
      <c r="A675" s="63"/>
      <c r="B675" s="64"/>
      <c r="C675" s="35"/>
      <c r="D675" s="41"/>
      <c r="E675" s="35"/>
    </row>
    <row r="676" ht="12.75" customHeight="1">
      <c r="A676" s="63"/>
      <c r="B676" s="64"/>
      <c r="C676" s="35"/>
      <c r="D676" s="41"/>
      <c r="E676" s="35"/>
    </row>
    <row r="677" ht="12.75" customHeight="1">
      <c r="A677" s="63"/>
      <c r="B677" s="64"/>
      <c r="C677" s="35"/>
      <c r="D677" s="41"/>
      <c r="E677" s="35"/>
    </row>
    <row r="678" ht="12.75" customHeight="1">
      <c r="A678" s="63"/>
      <c r="B678" s="64"/>
      <c r="C678" s="35"/>
      <c r="D678" s="41"/>
      <c r="E678" s="35"/>
    </row>
    <row r="679" ht="12.75" customHeight="1">
      <c r="A679" s="63"/>
      <c r="B679" s="64"/>
      <c r="C679" s="35"/>
      <c r="D679" s="41"/>
      <c r="E679" s="35"/>
    </row>
    <row r="680" ht="12.75" customHeight="1">
      <c r="A680" s="63"/>
      <c r="B680" s="64"/>
      <c r="C680" s="35"/>
      <c r="D680" s="41"/>
      <c r="E680" s="35"/>
    </row>
    <row r="681" ht="12.75" customHeight="1">
      <c r="A681" s="63"/>
      <c r="B681" s="64"/>
      <c r="C681" s="35"/>
      <c r="D681" s="41"/>
      <c r="E681" s="35"/>
    </row>
    <row r="682" ht="12.75" customHeight="1">
      <c r="A682" s="63"/>
      <c r="B682" s="64"/>
      <c r="C682" s="35"/>
      <c r="D682" s="41"/>
      <c r="E682" s="35"/>
    </row>
    <row r="683" ht="12.75" customHeight="1">
      <c r="A683" s="63"/>
      <c r="B683" s="64"/>
      <c r="C683" s="35"/>
      <c r="D683" s="41"/>
      <c r="E683" s="35"/>
    </row>
    <row r="684" ht="12.75" customHeight="1">
      <c r="A684" s="63"/>
      <c r="B684" s="64"/>
      <c r="C684" s="35"/>
      <c r="D684" s="41"/>
      <c r="E684" s="35"/>
    </row>
    <row r="685" ht="12.75" customHeight="1">
      <c r="A685" s="63"/>
      <c r="B685" s="64"/>
      <c r="C685" s="35"/>
      <c r="D685" s="41"/>
      <c r="E685" s="35"/>
    </row>
    <row r="686" ht="12.75" customHeight="1">
      <c r="A686" s="63"/>
      <c r="B686" s="64"/>
      <c r="C686" s="35"/>
      <c r="D686" s="41"/>
      <c r="E686" s="35"/>
    </row>
    <row r="687" ht="12.75" customHeight="1">
      <c r="A687" s="63"/>
      <c r="B687" s="64"/>
      <c r="C687" s="35"/>
      <c r="D687" s="41"/>
      <c r="E687" s="35"/>
    </row>
    <row r="688" ht="12.75" customHeight="1">
      <c r="A688" s="63"/>
      <c r="B688" s="64"/>
      <c r="C688" s="35"/>
      <c r="D688" s="41"/>
      <c r="E688" s="35"/>
    </row>
    <row r="689" ht="12.75" customHeight="1">
      <c r="A689" s="63"/>
      <c r="B689" s="64"/>
      <c r="C689" s="35"/>
      <c r="D689" s="41"/>
      <c r="E689" s="35"/>
    </row>
    <row r="690" ht="12.75" customHeight="1">
      <c r="A690" s="63"/>
      <c r="B690" s="64"/>
      <c r="C690" s="35"/>
      <c r="D690" s="41"/>
      <c r="E690" s="35"/>
    </row>
    <row r="691" ht="12.75" customHeight="1">
      <c r="A691" s="63"/>
      <c r="B691" s="64"/>
      <c r="C691" s="35"/>
      <c r="D691" s="41"/>
      <c r="E691" s="35"/>
    </row>
    <row r="692" ht="12.75" customHeight="1">
      <c r="A692" s="63"/>
      <c r="B692" s="64"/>
      <c r="C692" s="35"/>
      <c r="D692" s="41"/>
      <c r="E692" s="35"/>
    </row>
    <row r="693" ht="12.75" customHeight="1">
      <c r="A693" s="63"/>
      <c r="B693" s="64"/>
      <c r="C693" s="35"/>
      <c r="D693" s="41"/>
      <c r="E693" s="35"/>
    </row>
    <row r="694" ht="12.75" customHeight="1">
      <c r="A694" s="63"/>
      <c r="B694" s="64"/>
      <c r="C694" s="35"/>
      <c r="D694" s="41"/>
      <c r="E694" s="35"/>
    </row>
    <row r="695" ht="12.75" customHeight="1">
      <c r="A695" s="63"/>
      <c r="B695" s="64"/>
      <c r="C695" s="35"/>
      <c r="D695" s="41"/>
      <c r="E695" s="35"/>
    </row>
    <row r="696" ht="12.75" customHeight="1">
      <c r="A696" s="63"/>
      <c r="B696" s="64"/>
      <c r="C696" s="35"/>
      <c r="D696" s="41"/>
      <c r="E696" s="35"/>
    </row>
    <row r="697" ht="12.75" customHeight="1">
      <c r="A697" s="63"/>
      <c r="B697" s="64"/>
      <c r="C697" s="35"/>
      <c r="D697" s="41"/>
      <c r="E697" s="35"/>
    </row>
    <row r="698" ht="12.75" customHeight="1">
      <c r="A698" s="63"/>
      <c r="B698" s="64"/>
      <c r="C698" s="35"/>
      <c r="D698" s="41"/>
      <c r="E698" s="35"/>
    </row>
    <row r="699" ht="12.75" customHeight="1">
      <c r="A699" s="63"/>
      <c r="B699" s="64"/>
      <c r="C699" s="35"/>
      <c r="D699" s="41"/>
      <c r="E699" s="35"/>
    </row>
    <row r="700" ht="12.75" customHeight="1">
      <c r="A700" s="63"/>
      <c r="B700" s="64"/>
      <c r="C700" s="35"/>
      <c r="D700" s="41"/>
      <c r="E700" s="35"/>
    </row>
    <row r="701" ht="12.75" customHeight="1">
      <c r="A701" s="63"/>
      <c r="B701" s="64"/>
      <c r="C701" s="35"/>
      <c r="D701" s="41"/>
      <c r="E701" s="35"/>
    </row>
    <row r="702" ht="12.75" customHeight="1">
      <c r="A702" s="63"/>
      <c r="B702" s="64"/>
      <c r="C702" s="35"/>
      <c r="D702" s="41"/>
      <c r="E702" s="35"/>
    </row>
    <row r="703" ht="12.75" customHeight="1">
      <c r="A703" s="63"/>
      <c r="B703" s="64"/>
      <c r="C703" s="35"/>
      <c r="D703" s="41"/>
      <c r="E703" s="35"/>
    </row>
    <row r="704" ht="12.75" customHeight="1">
      <c r="A704" s="63"/>
      <c r="B704" s="64"/>
      <c r="C704" s="35"/>
      <c r="D704" s="41"/>
      <c r="E704" s="35"/>
    </row>
    <row r="705" ht="12.75" customHeight="1">
      <c r="A705" s="63"/>
      <c r="B705" s="64"/>
      <c r="C705" s="35"/>
      <c r="D705" s="41"/>
      <c r="E705" s="35"/>
    </row>
    <row r="706" ht="12.75" customHeight="1">
      <c r="A706" s="63"/>
      <c r="B706" s="64"/>
      <c r="C706" s="35"/>
      <c r="D706" s="41"/>
      <c r="E706" s="35"/>
    </row>
    <row r="707" ht="12.75" customHeight="1">
      <c r="A707" s="63"/>
      <c r="B707" s="64"/>
      <c r="C707" s="35"/>
      <c r="D707" s="41"/>
      <c r="E707" s="35"/>
    </row>
    <row r="708" ht="12.75" customHeight="1">
      <c r="A708" s="63"/>
      <c r="B708" s="64"/>
      <c r="C708" s="35"/>
      <c r="D708" s="41"/>
      <c r="E708" s="35"/>
    </row>
    <row r="709" ht="12.75" customHeight="1">
      <c r="A709" s="63"/>
      <c r="B709" s="64"/>
      <c r="C709" s="35"/>
      <c r="D709" s="41"/>
      <c r="E709" s="35"/>
    </row>
    <row r="710" ht="12.75" customHeight="1">
      <c r="A710" s="63"/>
      <c r="B710" s="64"/>
      <c r="C710" s="35"/>
      <c r="D710" s="41"/>
      <c r="E710" s="35"/>
    </row>
    <row r="711" ht="12.75" customHeight="1">
      <c r="A711" s="63"/>
      <c r="B711" s="64"/>
      <c r="C711" s="35"/>
      <c r="D711" s="41"/>
      <c r="E711" s="35"/>
    </row>
    <row r="712" ht="12.75" customHeight="1">
      <c r="A712" s="63"/>
      <c r="B712" s="64"/>
      <c r="C712" s="35"/>
      <c r="D712" s="41"/>
      <c r="E712" s="35"/>
    </row>
    <row r="713" ht="12.75" customHeight="1">
      <c r="A713" s="63"/>
      <c r="B713" s="64"/>
      <c r="C713" s="35"/>
      <c r="D713" s="41"/>
      <c r="E713" s="35"/>
    </row>
    <row r="714" ht="12.75" customHeight="1">
      <c r="A714" s="63"/>
      <c r="B714" s="64"/>
      <c r="C714" s="35"/>
      <c r="D714" s="41"/>
      <c r="E714" s="35"/>
    </row>
    <row r="715" ht="12.75" customHeight="1">
      <c r="A715" s="63"/>
      <c r="B715" s="64"/>
      <c r="C715" s="35"/>
      <c r="D715" s="41"/>
      <c r="E715" s="35"/>
    </row>
    <row r="716" ht="12.75" customHeight="1">
      <c r="A716" s="63"/>
      <c r="B716" s="64"/>
      <c r="C716" s="35"/>
      <c r="D716" s="41"/>
      <c r="E716" s="35"/>
    </row>
    <row r="717" ht="12.75" customHeight="1">
      <c r="A717" s="63"/>
      <c r="B717" s="64"/>
      <c r="C717" s="35"/>
      <c r="D717" s="41"/>
      <c r="E717" s="35"/>
    </row>
    <row r="718" ht="12.75" customHeight="1">
      <c r="A718" s="63"/>
      <c r="B718" s="64"/>
      <c r="C718" s="35"/>
      <c r="D718" s="41"/>
      <c r="E718" s="35"/>
    </row>
    <row r="719" ht="12.75" customHeight="1">
      <c r="A719" s="63"/>
      <c r="B719" s="64"/>
      <c r="C719" s="35"/>
      <c r="D719" s="41"/>
      <c r="E719" s="35"/>
    </row>
    <row r="720" ht="12.75" customHeight="1">
      <c r="A720" s="63"/>
      <c r="B720" s="64"/>
      <c r="C720" s="35"/>
      <c r="D720" s="41"/>
      <c r="E720" s="35"/>
    </row>
    <row r="721" ht="12.75" customHeight="1">
      <c r="A721" s="63"/>
      <c r="B721" s="64"/>
      <c r="C721" s="35"/>
      <c r="D721" s="41"/>
      <c r="E721" s="35"/>
    </row>
    <row r="722" ht="12.75" customHeight="1">
      <c r="A722" s="63"/>
      <c r="B722" s="64"/>
      <c r="C722" s="35"/>
      <c r="D722" s="41"/>
      <c r="E722" s="35"/>
    </row>
    <row r="723" ht="12.75" customHeight="1">
      <c r="A723" s="63"/>
      <c r="B723" s="64"/>
      <c r="C723" s="35"/>
      <c r="D723" s="41"/>
      <c r="E723" s="35"/>
    </row>
    <row r="724" ht="12.75" customHeight="1">
      <c r="A724" s="63"/>
      <c r="B724" s="64"/>
      <c r="C724" s="35"/>
      <c r="D724" s="41"/>
      <c r="E724" s="35"/>
    </row>
    <row r="725" ht="12.75" customHeight="1">
      <c r="A725" s="63"/>
      <c r="B725" s="64"/>
      <c r="C725" s="35"/>
      <c r="D725" s="41"/>
      <c r="E725" s="35"/>
    </row>
    <row r="726" ht="12.75" customHeight="1">
      <c r="A726" s="63"/>
      <c r="B726" s="64"/>
      <c r="C726" s="35"/>
      <c r="D726" s="41"/>
      <c r="E726" s="35"/>
    </row>
    <row r="727" ht="12.75" customHeight="1">
      <c r="A727" s="63"/>
      <c r="B727" s="64"/>
      <c r="C727" s="35"/>
      <c r="D727" s="41"/>
      <c r="E727" s="35"/>
    </row>
    <row r="728" ht="12.75" customHeight="1">
      <c r="A728" s="63"/>
      <c r="B728" s="64"/>
      <c r="C728" s="35"/>
      <c r="D728" s="41"/>
      <c r="E728" s="35"/>
    </row>
    <row r="729" ht="12.75" customHeight="1">
      <c r="A729" s="63"/>
      <c r="B729" s="64"/>
      <c r="C729" s="35"/>
      <c r="D729" s="41"/>
      <c r="E729" s="35"/>
    </row>
    <row r="730" ht="12.75" customHeight="1">
      <c r="A730" s="63"/>
      <c r="B730" s="64"/>
      <c r="C730" s="35"/>
      <c r="D730" s="41"/>
      <c r="E730" s="35"/>
    </row>
    <row r="731" ht="12.75" customHeight="1">
      <c r="A731" s="63"/>
      <c r="B731" s="64"/>
      <c r="C731" s="35"/>
      <c r="D731" s="41"/>
      <c r="E731" s="35"/>
    </row>
    <row r="732" ht="12.75" customHeight="1">
      <c r="A732" s="63"/>
      <c r="B732" s="64"/>
      <c r="C732" s="35"/>
      <c r="D732" s="41"/>
      <c r="E732" s="35"/>
    </row>
    <row r="733" ht="12.75" customHeight="1">
      <c r="A733" s="63"/>
      <c r="B733" s="64"/>
      <c r="C733" s="35"/>
      <c r="D733" s="41"/>
      <c r="E733" s="35"/>
    </row>
    <row r="734" ht="12.75" customHeight="1">
      <c r="A734" s="63"/>
      <c r="B734" s="64"/>
      <c r="C734" s="35"/>
      <c r="D734" s="41"/>
      <c r="E734" s="35"/>
    </row>
    <row r="735" ht="12.75" customHeight="1">
      <c r="A735" s="63"/>
      <c r="B735" s="64"/>
      <c r="C735" s="35"/>
      <c r="D735" s="41"/>
      <c r="E735" s="35"/>
    </row>
    <row r="736" ht="12.75" customHeight="1">
      <c r="A736" s="63"/>
      <c r="B736" s="64"/>
      <c r="C736" s="35"/>
      <c r="D736" s="41"/>
      <c r="E736" s="35"/>
    </row>
    <row r="737" ht="12.75" customHeight="1">
      <c r="A737" s="63"/>
      <c r="B737" s="64"/>
      <c r="C737" s="35"/>
      <c r="D737" s="41"/>
      <c r="E737" s="35"/>
    </row>
    <row r="738" ht="12.75" customHeight="1">
      <c r="A738" s="63"/>
      <c r="B738" s="64"/>
      <c r="C738" s="35"/>
      <c r="D738" s="41"/>
      <c r="E738" s="35"/>
    </row>
    <row r="739" ht="12.75" customHeight="1">
      <c r="A739" s="63"/>
      <c r="B739" s="64"/>
      <c r="C739" s="35"/>
      <c r="D739" s="41"/>
      <c r="E739" s="35"/>
    </row>
    <row r="740" ht="12.75" customHeight="1">
      <c r="A740" s="63"/>
      <c r="B740" s="64"/>
      <c r="C740" s="35"/>
      <c r="D740" s="41"/>
      <c r="E740" s="35"/>
    </row>
    <row r="741" ht="12.75" customHeight="1">
      <c r="A741" s="63"/>
      <c r="B741" s="64"/>
      <c r="C741" s="35"/>
      <c r="D741" s="41"/>
      <c r="E741" s="35"/>
    </row>
    <row r="742" ht="12.75" customHeight="1">
      <c r="A742" s="63"/>
      <c r="B742" s="64"/>
      <c r="C742" s="35"/>
      <c r="D742" s="41"/>
      <c r="E742" s="35"/>
    </row>
    <row r="743" ht="12.75" customHeight="1">
      <c r="A743" s="63"/>
      <c r="B743" s="64"/>
      <c r="C743" s="35"/>
      <c r="D743" s="41"/>
      <c r="E743" s="35"/>
    </row>
    <row r="744" ht="12.75" customHeight="1">
      <c r="A744" s="63"/>
      <c r="B744" s="64"/>
      <c r="C744" s="35"/>
      <c r="D744" s="41"/>
      <c r="E744" s="35"/>
    </row>
    <row r="745" ht="12.75" customHeight="1">
      <c r="A745" s="63"/>
      <c r="B745" s="64"/>
      <c r="C745" s="35"/>
      <c r="D745" s="41"/>
      <c r="E745" s="35"/>
    </row>
    <row r="746" ht="12.75" customHeight="1">
      <c r="A746" s="63"/>
      <c r="B746" s="64"/>
      <c r="C746" s="35"/>
      <c r="D746" s="41"/>
      <c r="E746" s="35"/>
    </row>
    <row r="747" ht="12.75" customHeight="1">
      <c r="A747" s="63"/>
      <c r="B747" s="64"/>
      <c r="C747" s="35"/>
      <c r="D747" s="41"/>
      <c r="E747" s="35"/>
    </row>
    <row r="748" ht="12.75" customHeight="1">
      <c r="A748" s="63"/>
      <c r="B748" s="64"/>
      <c r="C748" s="35"/>
      <c r="D748" s="41"/>
      <c r="E748" s="35"/>
    </row>
    <row r="749" ht="12.75" customHeight="1">
      <c r="A749" s="63"/>
      <c r="B749" s="64"/>
      <c r="C749" s="35"/>
      <c r="D749" s="41"/>
      <c r="E749" s="35"/>
    </row>
    <row r="750" ht="12.75" customHeight="1">
      <c r="A750" s="63"/>
      <c r="B750" s="64"/>
      <c r="C750" s="35"/>
      <c r="D750" s="41"/>
      <c r="E750" s="35"/>
    </row>
    <row r="751" ht="12.75" customHeight="1">
      <c r="A751" s="63"/>
      <c r="B751" s="64"/>
      <c r="C751" s="35"/>
      <c r="D751" s="41"/>
      <c r="E751" s="35"/>
    </row>
    <row r="752" ht="12.75" customHeight="1">
      <c r="A752" s="63"/>
      <c r="B752" s="64"/>
      <c r="C752" s="35"/>
      <c r="D752" s="41"/>
      <c r="E752" s="35"/>
    </row>
    <row r="753" ht="12.75" customHeight="1">
      <c r="A753" s="63"/>
      <c r="B753" s="64"/>
      <c r="C753" s="35"/>
      <c r="D753" s="41"/>
      <c r="E753" s="35"/>
    </row>
    <row r="754" ht="12.75" customHeight="1">
      <c r="A754" s="63"/>
      <c r="B754" s="64"/>
      <c r="C754" s="35"/>
      <c r="D754" s="41"/>
      <c r="E754" s="35"/>
    </row>
    <row r="755" ht="12.75" customHeight="1">
      <c r="A755" s="63"/>
      <c r="B755" s="64"/>
      <c r="C755" s="35"/>
      <c r="D755" s="41"/>
      <c r="E755" s="35"/>
    </row>
    <row r="756" ht="12.75" customHeight="1">
      <c r="A756" s="63"/>
      <c r="B756" s="64"/>
      <c r="C756" s="35"/>
      <c r="D756" s="41"/>
      <c r="E756" s="35"/>
    </row>
    <row r="757" ht="12.75" customHeight="1">
      <c r="A757" s="63"/>
      <c r="B757" s="64"/>
      <c r="C757" s="35"/>
      <c r="D757" s="41"/>
      <c r="E757" s="35"/>
    </row>
    <row r="758" ht="12.75" customHeight="1">
      <c r="A758" s="63"/>
      <c r="B758" s="64"/>
      <c r="C758" s="35"/>
      <c r="D758" s="41"/>
      <c r="E758" s="35"/>
    </row>
    <row r="759" ht="12.75" customHeight="1">
      <c r="A759" s="63"/>
      <c r="B759" s="64"/>
      <c r="C759" s="35"/>
      <c r="D759" s="41"/>
      <c r="E759" s="35"/>
    </row>
    <row r="760" ht="12.75" customHeight="1">
      <c r="A760" s="63"/>
      <c r="B760" s="64"/>
      <c r="C760" s="35"/>
      <c r="D760" s="41"/>
      <c r="E760" s="35"/>
    </row>
    <row r="761" ht="12.75" customHeight="1">
      <c r="A761" s="63"/>
      <c r="B761" s="64"/>
      <c r="C761" s="35"/>
      <c r="D761" s="41"/>
      <c r="E761" s="35"/>
    </row>
    <row r="762" ht="12.75" customHeight="1">
      <c r="A762" s="63"/>
      <c r="B762" s="64"/>
      <c r="C762" s="35"/>
      <c r="D762" s="41"/>
      <c r="E762" s="35"/>
    </row>
    <row r="763" ht="12.75" customHeight="1">
      <c r="A763" s="63"/>
      <c r="B763" s="64"/>
      <c r="C763" s="35"/>
      <c r="D763" s="41"/>
      <c r="E763" s="35"/>
    </row>
    <row r="764" ht="12.75" customHeight="1">
      <c r="A764" s="63"/>
      <c r="B764" s="64"/>
      <c r="C764" s="35"/>
      <c r="D764" s="41"/>
      <c r="E764" s="35"/>
    </row>
    <row r="765" ht="12.75" customHeight="1">
      <c r="A765" s="63"/>
      <c r="B765" s="64"/>
      <c r="C765" s="35"/>
      <c r="D765" s="41"/>
      <c r="E765" s="35"/>
    </row>
    <row r="766" ht="12.75" customHeight="1">
      <c r="A766" s="63"/>
      <c r="B766" s="64"/>
      <c r="C766" s="35"/>
      <c r="D766" s="41"/>
      <c r="E766" s="35"/>
    </row>
    <row r="767" ht="12.75" customHeight="1">
      <c r="A767" s="63"/>
      <c r="B767" s="64"/>
      <c r="C767" s="35"/>
      <c r="D767" s="41"/>
      <c r="E767" s="35"/>
    </row>
    <row r="768" ht="12.75" customHeight="1">
      <c r="A768" s="63"/>
      <c r="B768" s="64"/>
      <c r="C768" s="35"/>
      <c r="D768" s="41"/>
      <c r="E768" s="35"/>
    </row>
    <row r="769" ht="12.75" customHeight="1">
      <c r="A769" s="63"/>
      <c r="B769" s="64"/>
      <c r="C769" s="35"/>
      <c r="D769" s="41"/>
      <c r="E769" s="35"/>
    </row>
    <row r="770" ht="12.75" customHeight="1">
      <c r="A770" s="63"/>
      <c r="B770" s="64"/>
      <c r="C770" s="35"/>
      <c r="D770" s="41"/>
      <c r="E770" s="35"/>
    </row>
    <row r="771" ht="12.75" customHeight="1">
      <c r="A771" s="63"/>
      <c r="B771" s="64"/>
      <c r="C771" s="35"/>
      <c r="D771" s="41"/>
      <c r="E771" s="35"/>
    </row>
    <row r="772" ht="12.75" customHeight="1">
      <c r="A772" s="63"/>
      <c r="B772" s="64"/>
      <c r="C772" s="35"/>
      <c r="D772" s="41"/>
      <c r="E772" s="35"/>
    </row>
    <row r="773" ht="12.75" customHeight="1">
      <c r="A773" s="63"/>
      <c r="B773" s="64"/>
      <c r="C773" s="35"/>
      <c r="D773" s="41"/>
      <c r="E773" s="35"/>
    </row>
    <row r="774" ht="12.75" customHeight="1">
      <c r="A774" s="63"/>
      <c r="B774" s="64"/>
      <c r="C774" s="35"/>
      <c r="D774" s="41"/>
      <c r="E774" s="35"/>
    </row>
    <row r="775" ht="12.75" customHeight="1">
      <c r="A775" s="63"/>
      <c r="B775" s="64"/>
      <c r="C775" s="35"/>
      <c r="D775" s="41"/>
      <c r="E775" s="35"/>
    </row>
    <row r="776" ht="12.75" customHeight="1">
      <c r="A776" s="63"/>
      <c r="B776" s="64"/>
      <c r="C776" s="35"/>
      <c r="D776" s="41"/>
      <c r="E776" s="35"/>
    </row>
    <row r="777" ht="12.75" customHeight="1">
      <c r="A777" s="63"/>
      <c r="B777" s="64"/>
      <c r="C777" s="35"/>
      <c r="D777" s="41"/>
      <c r="E777" s="35"/>
    </row>
    <row r="778" ht="12.75" customHeight="1">
      <c r="A778" s="63"/>
      <c r="B778" s="64"/>
      <c r="C778" s="35"/>
      <c r="D778" s="41"/>
      <c r="E778" s="35"/>
    </row>
    <row r="779" ht="12.75" customHeight="1">
      <c r="A779" s="63"/>
      <c r="B779" s="64"/>
      <c r="C779" s="35"/>
      <c r="D779" s="41"/>
      <c r="E779" s="35"/>
    </row>
    <row r="780" ht="12.75" customHeight="1">
      <c r="A780" s="63"/>
      <c r="B780" s="64"/>
      <c r="C780" s="35"/>
      <c r="D780" s="41"/>
      <c r="E780" s="35"/>
    </row>
    <row r="781" ht="12.75" customHeight="1">
      <c r="A781" s="63"/>
      <c r="B781" s="64"/>
      <c r="C781" s="35"/>
      <c r="D781" s="41"/>
      <c r="E781" s="35"/>
    </row>
    <row r="782" ht="12.75" customHeight="1">
      <c r="A782" s="63"/>
      <c r="B782" s="64"/>
      <c r="C782" s="35"/>
      <c r="D782" s="41"/>
      <c r="E782" s="35"/>
    </row>
    <row r="783" ht="12.75" customHeight="1">
      <c r="A783" s="63"/>
      <c r="B783" s="64"/>
      <c r="C783" s="35"/>
      <c r="D783" s="41"/>
      <c r="E783" s="35"/>
    </row>
    <row r="784" ht="12.75" customHeight="1">
      <c r="A784" s="63"/>
      <c r="B784" s="64"/>
      <c r="C784" s="35"/>
      <c r="D784" s="41"/>
      <c r="E784" s="35"/>
    </row>
    <row r="785" ht="12.75" customHeight="1">
      <c r="A785" s="63"/>
      <c r="B785" s="64"/>
      <c r="C785" s="35"/>
      <c r="D785" s="41"/>
      <c r="E785" s="35"/>
    </row>
    <row r="786" ht="12.75" customHeight="1">
      <c r="A786" s="63"/>
      <c r="B786" s="64"/>
      <c r="C786" s="35"/>
      <c r="D786" s="41"/>
      <c r="E786" s="35"/>
    </row>
    <row r="787" ht="12.75" customHeight="1">
      <c r="A787" s="63"/>
      <c r="B787" s="64"/>
      <c r="C787" s="35"/>
      <c r="D787" s="41"/>
      <c r="E787" s="35"/>
    </row>
    <row r="788" ht="12.75" customHeight="1">
      <c r="A788" s="63"/>
      <c r="B788" s="64"/>
      <c r="C788" s="35"/>
      <c r="D788" s="41"/>
      <c r="E788" s="35"/>
    </row>
    <row r="789" ht="12.75" customHeight="1">
      <c r="A789" s="63"/>
      <c r="B789" s="64"/>
      <c r="C789" s="35"/>
      <c r="D789" s="41"/>
      <c r="E789" s="35"/>
    </row>
    <row r="790" ht="12.75" customHeight="1">
      <c r="A790" s="63"/>
      <c r="B790" s="64"/>
      <c r="C790" s="35"/>
      <c r="D790" s="41"/>
      <c r="E790" s="35"/>
    </row>
    <row r="791" ht="12.75" customHeight="1">
      <c r="A791" s="63"/>
      <c r="B791" s="64"/>
      <c r="C791" s="35"/>
      <c r="D791" s="41"/>
      <c r="E791" s="35"/>
    </row>
    <row r="792" ht="12.75" customHeight="1">
      <c r="A792" s="63"/>
      <c r="B792" s="64"/>
      <c r="C792" s="35"/>
      <c r="D792" s="41"/>
      <c r="E792" s="35"/>
    </row>
    <row r="793" ht="12.75" customHeight="1">
      <c r="A793" s="63"/>
      <c r="B793" s="64"/>
      <c r="C793" s="35"/>
      <c r="D793" s="41"/>
      <c r="E793" s="35"/>
    </row>
    <row r="794" ht="12.75" customHeight="1">
      <c r="A794" s="63"/>
      <c r="B794" s="64"/>
      <c r="C794" s="35"/>
      <c r="D794" s="41"/>
      <c r="E794" s="35"/>
    </row>
    <row r="795" ht="12.75" customHeight="1">
      <c r="A795" s="63"/>
      <c r="B795" s="64"/>
      <c r="C795" s="35"/>
      <c r="D795" s="41"/>
      <c r="E795" s="35"/>
    </row>
    <row r="796" ht="12.75" customHeight="1">
      <c r="A796" s="63"/>
      <c r="B796" s="64"/>
      <c r="C796" s="35"/>
      <c r="D796" s="41"/>
      <c r="E796" s="35"/>
    </row>
    <row r="797" ht="12.75" customHeight="1">
      <c r="A797" s="63"/>
      <c r="B797" s="64"/>
      <c r="C797" s="35"/>
      <c r="D797" s="41"/>
      <c r="E797" s="35"/>
    </row>
    <row r="798" ht="12.75" customHeight="1">
      <c r="A798" s="63"/>
      <c r="B798" s="64"/>
      <c r="C798" s="35"/>
      <c r="D798" s="41"/>
      <c r="E798" s="35"/>
    </row>
    <row r="799" ht="12.75" customHeight="1">
      <c r="A799" s="63"/>
      <c r="B799" s="64"/>
      <c r="C799" s="35"/>
      <c r="D799" s="41"/>
      <c r="E799" s="35"/>
    </row>
    <row r="800" ht="12.75" customHeight="1">
      <c r="A800" s="63"/>
      <c r="B800" s="64"/>
      <c r="C800" s="35"/>
      <c r="D800" s="41"/>
      <c r="E800" s="35"/>
    </row>
    <row r="801" ht="12.75" customHeight="1">
      <c r="A801" s="63"/>
      <c r="B801" s="64"/>
      <c r="C801" s="35"/>
      <c r="D801" s="41"/>
      <c r="E801" s="35"/>
    </row>
    <row r="802" ht="12.75" customHeight="1">
      <c r="A802" s="63"/>
      <c r="B802" s="64"/>
      <c r="C802" s="35"/>
      <c r="D802" s="41"/>
      <c r="E802" s="35"/>
    </row>
    <row r="803" ht="12.75" customHeight="1">
      <c r="A803" s="63"/>
      <c r="B803" s="64"/>
      <c r="C803" s="35"/>
      <c r="D803" s="41"/>
      <c r="E803" s="35"/>
    </row>
    <row r="804" ht="12.75" customHeight="1">
      <c r="A804" s="63"/>
      <c r="B804" s="64"/>
      <c r="C804" s="35"/>
      <c r="D804" s="41"/>
      <c r="E804" s="35"/>
    </row>
    <row r="805" ht="12.75" customHeight="1">
      <c r="A805" s="63"/>
      <c r="B805" s="64"/>
      <c r="C805" s="35"/>
      <c r="D805" s="41"/>
      <c r="E805" s="35"/>
    </row>
    <row r="806" ht="12.75" customHeight="1">
      <c r="A806" s="63"/>
      <c r="B806" s="64"/>
      <c r="C806" s="35"/>
      <c r="D806" s="41"/>
      <c r="E806" s="35"/>
    </row>
    <row r="807" ht="12.75" customHeight="1">
      <c r="A807" s="63"/>
      <c r="B807" s="64"/>
      <c r="C807" s="35"/>
      <c r="D807" s="41"/>
      <c r="E807" s="35"/>
    </row>
    <row r="808" ht="12.75" customHeight="1">
      <c r="A808" s="63"/>
      <c r="B808" s="64"/>
      <c r="C808" s="35"/>
      <c r="D808" s="41"/>
      <c r="E808" s="35"/>
    </row>
    <row r="809" ht="12.75" customHeight="1">
      <c r="A809" s="63"/>
      <c r="B809" s="64"/>
      <c r="C809" s="35"/>
      <c r="D809" s="41"/>
      <c r="E809" s="35"/>
    </row>
    <row r="810" ht="12.75" customHeight="1">
      <c r="A810" s="63"/>
      <c r="B810" s="64"/>
      <c r="C810" s="35"/>
      <c r="D810" s="41"/>
      <c r="E810" s="35"/>
    </row>
    <row r="811" ht="12.75" customHeight="1">
      <c r="A811" s="63"/>
      <c r="B811" s="64"/>
      <c r="C811" s="35"/>
      <c r="D811" s="41"/>
      <c r="E811" s="35"/>
    </row>
    <row r="812" ht="12.75" customHeight="1">
      <c r="A812" s="63"/>
      <c r="B812" s="64"/>
      <c r="C812" s="35"/>
      <c r="D812" s="41"/>
      <c r="E812" s="35"/>
    </row>
    <row r="813" ht="12.75" customHeight="1">
      <c r="A813" s="63"/>
      <c r="B813" s="64"/>
      <c r="C813" s="35"/>
      <c r="D813" s="41"/>
      <c r="E813" s="35"/>
    </row>
    <row r="814" ht="12.75" customHeight="1">
      <c r="A814" s="63"/>
      <c r="B814" s="64"/>
      <c r="C814" s="35"/>
      <c r="D814" s="41"/>
      <c r="E814" s="35"/>
    </row>
    <row r="815" ht="12.75" customHeight="1">
      <c r="A815" s="63"/>
      <c r="B815" s="64"/>
      <c r="C815" s="35"/>
      <c r="D815" s="41"/>
      <c r="E815" s="35"/>
    </row>
    <row r="816" ht="12.75" customHeight="1">
      <c r="A816" s="63"/>
      <c r="B816" s="64"/>
      <c r="C816" s="35"/>
      <c r="D816" s="41"/>
      <c r="E816" s="35"/>
    </row>
    <row r="817" ht="12.75" customHeight="1">
      <c r="A817" s="63"/>
      <c r="B817" s="64"/>
      <c r="C817" s="35"/>
      <c r="D817" s="41"/>
      <c r="E817" s="35"/>
    </row>
    <row r="818" ht="12.75" customHeight="1">
      <c r="A818" s="63"/>
      <c r="B818" s="64"/>
      <c r="C818" s="35"/>
      <c r="D818" s="41"/>
      <c r="E818" s="35"/>
    </row>
    <row r="819" ht="12.75" customHeight="1">
      <c r="A819" s="63"/>
      <c r="B819" s="64"/>
      <c r="C819" s="35"/>
      <c r="D819" s="41"/>
      <c r="E819" s="35"/>
    </row>
    <row r="820" ht="12.75" customHeight="1">
      <c r="A820" s="63"/>
      <c r="B820" s="64"/>
      <c r="C820" s="35"/>
      <c r="D820" s="41"/>
      <c r="E820" s="35"/>
    </row>
    <row r="821" ht="12.75" customHeight="1">
      <c r="A821" s="63"/>
      <c r="B821" s="64"/>
      <c r="C821" s="35"/>
      <c r="D821" s="41"/>
      <c r="E821" s="35"/>
    </row>
    <row r="822" ht="12.75" customHeight="1">
      <c r="A822" s="63"/>
      <c r="B822" s="64"/>
      <c r="C822" s="35"/>
      <c r="D822" s="41"/>
      <c r="E822" s="35"/>
    </row>
    <row r="823" ht="12.75" customHeight="1">
      <c r="A823" s="63"/>
      <c r="B823" s="64"/>
      <c r="C823" s="35"/>
      <c r="D823" s="41"/>
      <c r="E823" s="35"/>
    </row>
    <row r="824" ht="12.75" customHeight="1">
      <c r="A824" s="63"/>
      <c r="B824" s="64"/>
      <c r="C824" s="35"/>
      <c r="D824" s="41"/>
      <c r="E824" s="35"/>
    </row>
    <row r="825" ht="12.75" customHeight="1">
      <c r="A825" s="63"/>
      <c r="B825" s="64"/>
      <c r="C825" s="35"/>
      <c r="D825" s="41"/>
      <c r="E825" s="35"/>
    </row>
    <row r="826" ht="12.75" customHeight="1">
      <c r="A826" s="63"/>
      <c r="B826" s="64"/>
      <c r="C826" s="35"/>
      <c r="D826" s="41"/>
      <c r="E826" s="35"/>
    </row>
    <row r="827" ht="12.75" customHeight="1">
      <c r="A827" s="63"/>
      <c r="B827" s="64"/>
      <c r="C827" s="35"/>
      <c r="D827" s="41"/>
      <c r="E827" s="35"/>
    </row>
    <row r="828" ht="12.75" customHeight="1">
      <c r="A828" s="63"/>
      <c r="B828" s="64"/>
      <c r="C828" s="35"/>
      <c r="D828" s="41"/>
      <c r="E828" s="35"/>
    </row>
    <row r="829" ht="12.75" customHeight="1">
      <c r="A829" s="63"/>
      <c r="B829" s="64"/>
      <c r="C829" s="35"/>
      <c r="D829" s="41"/>
      <c r="E829" s="35"/>
    </row>
    <row r="830" ht="12.75" customHeight="1">
      <c r="A830" s="63"/>
      <c r="B830" s="64"/>
      <c r="C830" s="35"/>
      <c r="D830" s="41"/>
      <c r="E830" s="35"/>
    </row>
    <row r="831" ht="12.75" customHeight="1">
      <c r="A831" s="63"/>
      <c r="B831" s="64"/>
      <c r="C831" s="35"/>
      <c r="D831" s="41"/>
      <c r="E831" s="35"/>
    </row>
    <row r="832" ht="12.75" customHeight="1">
      <c r="A832" s="63"/>
      <c r="B832" s="64"/>
      <c r="C832" s="35"/>
      <c r="D832" s="41"/>
      <c r="E832" s="35"/>
    </row>
    <row r="833" ht="12.75" customHeight="1">
      <c r="A833" s="63"/>
      <c r="B833" s="64"/>
      <c r="C833" s="35"/>
      <c r="D833" s="41"/>
      <c r="E833" s="35"/>
    </row>
    <row r="834" ht="12.75" customHeight="1">
      <c r="A834" s="63"/>
      <c r="B834" s="64"/>
      <c r="C834" s="35"/>
      <c r="D834" s="41"/>
      <c r="E834" s="35"/>
    </row>
    <row r="835" ht="12.75" customHeight="1">
      <c r="A835" s="63"/>
      <c r="B835" s="64"/>
      <c r="C835" s="35"/>
      <c r="D835" s="41"/>
      <c r="E835" s="35"/>
    </row>
    <row r="836" ht="12.75" customHeight="1">
      <c r="A836" s="63"/>
      <c r="B836" s="64"/>
      <c r="C836" s="35"/>
      <c r="D836" s="41"/>
      <c r="E836" s="35"/>
    </row>
    <row r="837" ht="12.75" customHeight="1">
      <c r="A837" s="63"/>
      <c r="B837" s="64"/>
      <c r="C837" s="35"/>
      <c r="D837" s="41"/>
      <c r="E837" s="35"/>
    </row>
    <row r="838" ht="12.75" customHeight="1">
      <c r="A838" s="63"/>
      <c r="B838" s="64"/>
      <c r="C838" s="35"/>
      <c r="D838" s="41"/>
      <c r="E838" s="35"/>
    </row>
    <row r="839" ht="12.75" customHeight="1">
      <c r="A839" s="63"/>
      <c r="B839" s="64"/>
      <c r="C839" s="35"/>
      <c r="D839" s="41"/>
      <c r="E839" s="35"/>
    </row>
    <row r="840" ht="12.75" customHeight="1">
      <c r="A840" s="63"/>
      <c r="B840" s="64"/>
      <c r="C840" s="35"/>
      <c r="D840" s="41"/>
      <c r="E840" s="35"/>
    </row>
    <row r="841" ht="12.75" customHeight="1">
      <c r="A841" s="63"/>
      <c r="B841" s="64"/>
      <c r="C841" s="35"/>
      <c r="D841" s="41"/>
      <c r="E841" s="35"/>
    </row>
    <row r="842" ht="12.75" customHeight="1">
      <c r="A842" s="63"/>
      <c r="B842" s="64"/>
      <c r="C842" s="35"/>
      <c r="D842" s="41"/>
      <c r="E842" s="35"/>
    </row>
    <row r="843" ht="12.75" customHeight="1">
      <c r="A843" s="63"/>
      <c r="B843" s="64"/>
      <c r="C843" s="35"/>
      <c r="D843" s="41"/>
      <c r="E843" s="35"/>
    </row>
    <row r="844" ht="12.75" customHeight="1">
      <c r="A844" s="63"/>
      <c r="B844" s="64"/>
      <c r="C844" s="35"/>
      <c r="D844" s="41"/>
      <c r="E844" s="35"/>
    </row>
    <row r="845" ht="12.75" customHeight="1">
      <c r="A845" s="63"/>
      <c r="B845" s="64"/>
      <c r="C845" s="35"/>
      <c r="D845" s="41"/>
      <c r="E845" s="35"/>
    </row>
    <row r="846" ht="12.75" customHeight="1">
      <c r="A846" s="63"/>
      <c r="B846" s="64"/>
      <c r="C846" s="35"/>
      <c r="D846" s="41"/>
      <c r="E846" s="35"/>
    </row>
    <row r="847" ht="12.75" customHeight="1">
      <c r="A847" s="63"/>
      <c r="B847" s="64"/>
      <c r="C847" s="35"/>
      <c r="D847" s="41"/>
      <c r="E847" s="35"/>
    </row>
    <row r="848" ht="12.75" customHeight="1">
      <c r="A848" s="63"/>
      <c r="B848" s="64"/>
      <c r="C848" s="35"/>
      <c r="D848" s="41"/>
      <c r="E848" s="35"/>
    </row>
    <row r="849" ht="12.75" customHeight="1">
      <c r="A849" s="63"/>
      <c r="B849" s="64"/>
      <c r="C849" s="35"/>
      <c r="D849" s="41"/>
      <c r="E849" s="35"/>
    </row>
    <row r="850" ht="12.75" customHeight="1">
      <c r="A850" s="63"/>
      <c r="B850" s="64"/>
      <c r="C850" s="35"/>
      <c r="D850" s="41"/>
      <c r="E850" s="35"/>
    </row>
    <row r="851" ht="12.75" customHeight="1">
      <c r="A851" s="63"/>
      <c r="B851" s="64"/>
      <c r="C851" s="35"/>
      <c r="D851" s="41"/>
      <c r="E851" s="35"/>
    </row>
    <row r="852" ht="12.75" customHeight="1">
      <c r="A852" s="63"/>
      <c r="B852" s="64"/>
      <c r="C852" s="35"/>
      <c r="D852" s="41"/>
      <c r="E852" s="35"/>
    </row>
    <row r="853" ht="12.75" customHeight="1">
      <c r="A853" s="63"/>
      <c r="B853" s="64"/>
      <c r="C853" s="35"/>
      <c r="D853" s="41"/>
      <c r="E853" s="35"/>
    </row>
    <row r="854" ht="12.75" customHeight="1">
      <c r="A854" s="63"/>
      <c r="B854" s="64"/>
      <c r="C854" s="35"/>
      <c r="D854" s="41"/>
      <c r="E854" s="35"/>
    </row>
    <row r="855" ht="12.75" customHeight="1">
      <c r="A855" s="63"/>
      <c r="B855" s="64"/>
      <c r="C855" s="35"/>
      <c r="D855" s="41"/>
      <c r="E855" s="35"/>
    </row>
    <row r="856" ht="12.75" customHeight="1">
      <c r="A856" s="63"/>
      <c r="B856" s="64"/>
      <c r="C856" s="35"/>
      <c r="D856" s="41"/>
      <c r="E856" s="35"/>
    </row>
    <row r="857" ht="12.75" customHeight="1">
      <c r="A857" s="63"/>
      <c r="B857" s="64"/>
      <c r="C857" s="35"/>
      <c r="D857" s="41"/>
      <c r="E857" s="35"/>
    </row>
    <row r="858" ht="12.75" customHeight="1">
      <c r="A858" s="63"/>
      <c r="B858" s="64"/>
      <c r="C858" s="35"/>
      <c r="D858" s="41"/>
      <c r="E858" s="35"/>
    </row>
    <row r="859" ht="12.75" customHeight="1">
      <c r="A859" s="63"/>
      <c r="B859" s="64"/>
      <c r="C859" s="35"/>
      <c r="D859" s="41"/>
      <c r="E859" s="35"/>
    </row>
    <row r="860" ht="12.75" customHeight="1">
      <c r="A860" s="63"/>
      <c r="B860" s="64"/>
      <c r="C860" s="35"/>
      <c r="D860" s="41"/>
      <c r="E860" s="35"/>
    </row>
    <row r="861" ht="12.75" customHeight="1">
      <c r="A861" s="63"/>
      <c r="B861" s="64"/>
      <c r="C861" s="35"/>
      <c r="D861" s="41"/>
      <c r="E861" s="35"/>
    </row>
    <row r="862" ht="12.75" customHeight="1">
      <c r="A862" s="63"/>
      <c r="B862" s="64"/>
      <c r="C862" s="35"/>
      <c r="D862" s="41"/>
      <c r="E862" s="35"/>
    </row>
    <row r="863" ht="12.75" customHeight="1">
      <c r="A863" s="63"/>
      <c r="B863" s="64"/>
      <c r="C863" s="35"/>
      <c r="D863" s="41"/>
      <c r="E863" s="35"/>
    </row>
    <row r="864" ht="12.75" customHeight="1">
      <c r="A864" s="63"/>
      <c r="B864" s="64"/>
      <c r="C864" s="35"/>
      <c r="D864" s="41"/>
      <c r="E864" s="35"/>
    </row>
    <row r="865" ht="12.75" customHeight="1">
      <c r="A865" s="63"/>
      <c r="B865" s="64"/>
      <c r="C865" s="35"/>
      <c r="D865" s="41"/>
      <c r="E865" s="35"/>
    </row>
    <row r="866" ht="12.75" customHeight="1">
      <c r="A866" s="63"/>
      <c r="B866" s="64"/>
      <c r="C866" s="35"/>
      <c r="D866" s="41"/>
      <c r="E866" s="35"/>
    </row>
    <row r="867" ht="12.75" customHeight="1">
      <c r="A867" s="63"/>
      <c r="B867" s="64"/>
      <c r="C867" s="35"/>
      <c r="D867" s="41"/>
      <c r="E867" s="35"/>
    </row>
    <row r="868" ht="12.75" customHeight="1">
      <c r="A868" s="63"/>
      <c r="B868" s="64"/>
      <c r="C868" s="35"/>
      <c r="D868" s="41"/>
      <c r="E868" s="35"/>
    </row>
    <row r="869" ht="12.75" customHeight="1">
      <c r="A869" s="63"/>
      <c r="B869" s="64"/>
      <c r="C869" s="35"/>
      <c r="D869" s="41"/>
      <c r="E869" s="35"/>
    </row>
    <row r="870" ht="12.75" customHeight="1">
      <c r="A870" s="63"/>
      <c r="B870" s="64"/>
      <c r="C870" s="35"/>
      <c r="D870" s="41"/>
      <c r="E870" s="35"/>
    </row>
    <row r="871" ht="12.75" customHeight="1">
      <c r="A871" s="63"/>
      <c r="B871" s="64"/>
      <c r="C871" s="35"/>
      <c r="D871" s="41"/>
      <c r="E871" s="35"/>
    </row>
    <row r="872" ht="12.75" customHeight="1">
      <c r="A872" s="63"/>
      <c r="B872" s="64"/>
      <c r="C872" s="35"/>
      <c r="D872" s="41"/>
      <c r="E872" s="35"/>
    </row>
    <row r="873" ht="12.75" customHeight="1">
      <c r="A873" s="63"/>
      <c r="B873" s="64"/>
      <c r="C873" s="35"/>
      <c r="D873" s="41"/>
      <c r="E873" s="35"/>
    </row>
    <row r="874" ht="12.75" customHeight="1">
      <c r="A874" s="63"/>
      <c r="B874" s="64"/>
      <c r="C874" s="35"/>
      <c r="D874" s="41"/>
      <c r="E874" s="35"/>
    </row>
    <row r="875" ht="12.75" customHeight="1">
      <c r="A875" s="63"/>
      <c r="B875" s="64"/>
      <c r="C875" s="35"/>
      <c r="D875" s="41"/>
      <c r="E875" s="35"/>
    </row>
    <row r="876" ht="12.75" customHeight="1">
      <c r="A876" s="63"/>
      <c r="B876" s="64"/>
      <c r="C876" s="35"/>
      <c r="D876" s="41"/>
      <c r="E876" s="35"/>
    </row>
    <row r="877" ht="12.75" customHeight="1">
      <c r="A877" s="63"/>
      <c r="B877" s="64"/>
      <c r="C877" s="35"/>
      <c r="D877" s="41"/>
      <c r="E877" s="35"/>
    </row>
    <row r="878" ht="12.75" customHeight="1">
      <c r="A878" s="63"/>
      <c r="B878" s="64"/>
      <c r="C878" s="35"/>
      <c r="D878" s="41"/>
      <c r="E878" s="35"/>
    </row>
    <row r="879" ht="12.75" customHeight="1">
      <c r="A879" s="63"/>
      <c r="B879" s="64"/>
      <c r="C879" s="35"/>
      <c r="D879" s="41"/>
      <c r="E879" s="35"/>
    </row>
    <row r="880" ht="12.75" customHeight="1">
      <c r="A880" s="63"/>
      <c r="B880" s="64"/>
      <c r="C880" s="35"/>
      <c r="D880" s="41"/>
      <c r="E880" s="35"/>
    </row>
    <row r="881" ht="12.75" customHeight="1">
      <c r="A881" s="63"/>
      <c r="B881" s="64"/>
      <c r="C881" s="35"/>
      <c r="D881" s="41"/>
      <c r="E881" s="35"/>
    </row>
    <row r="882" ht="12.75" customHeight="1">
      <c r="A882" s="63"/>
      <c r="B882" s="64"/>
      <c r="C882" s="35"/>
      <c r="D882" s="41"/>
      <c r="E882" s="35"/>
    </row>
    <row r="883" ht="12.75" customHeight="1">
      <c r="A883" s="63"/>
      <c r="B883" s="64"/>
      <c r="C883" s="35"/>
      <c r="D883" s="41"/>
      <c r="E883" s="35"/>
    </row>
    <row r="884" ht="12.75" customHeight="1">
      <c r="A884" s="63"/>
      <c r="B884" s="64"/>
      <c r="C884" s="35"/>
      <c r="D884" s="41"/>
      <c r="E884" s="35"/>
    </row>
    <row r="885" ht="12.75" customHeight="1">
      <c r="A885" s="63"/>
      <c r="B885" s="64"/>
      <c r="C885" s="35"/>
      <c r="D885" s="41"/>
      <c r="E885" s="35"/>
    </row>
    <row r="886" ht="12.75" customHeight="1">
      <c r="A886" s="63"/>
      <c r="B886" s="64"/>
      <c r="C886" s="35"/>
      <c r="D886" s="41"/>
      <c r="E886" s="35"/>
    </row>
    <row r="887" ht="12.75" customHeight="1">
      <c r="A887" s="63"/>
      <c r="B887" s="64"/>
      <c r="C887" s="35"/>
      <c r="D887" s="41"/>
      <c r="E887" s="35"/>
    </row>
    <row r="888" ht="12.75" customHeight="1">
      <c r="A888" s="63"/>
      <c r="B888" s="64"/>
      <c r="C888" s="35"/>
      <c r="D888" s="41"/>
      <c r="E888" s="35"/>
    </row>
    <row r="889" ht="12.75" customHeight="1">
      <c r="A889" s="63"/>
      <c r="B889" s="64"/>
      <c r="C889" s="35"/>
      <c r="D889" s="41"/>
      <c r="E889" s="35"/>
    </row>
    <row r="890" ht="12.75" customHeight="1">
      <c r="A890" s="63"/>
      <c r="B890" s="64"/>
      <c r="C890" s="35"/>
      <c r="D890" s="41"/>
      <c r="E890" s="35"/>
    </row>
    <row r="891" ht="12.75" customHeight="1">
      <c r="A891" s="63"/>
      <c r="B891" s="64"/>
      <c r="C891" s="35"/>
      <c r="D891" s="41"/>
      <c r="E891" s="35"/>
    </row>
    <row r="892" ht="12.75" customHeight="1">
      <c r="A892" s="63"/>
      <c r="B892" s="64"/>
      <c r="C892" s="35"/>
      <c r="D892" s="41"/>
      <c r="E892" s="35"/>
    </row>
    <row r="893" ht="12.75" customHeight="1">
      <c r="A893" s="63"/>
      <c r="B893" s="64"/>
      <c r="C893" s="35"/>
      <c r="D893" s="41"/>
      <c r="E893" s="35"/>
    </row>
    <row r="894" ht="12.75" customHeight="1">
      <c r="A894" s="63"/>
      <c r="B894" s="64"/>
      <c r="C894" s="35"/>
      <c r="D894" s="41"/>
      <c r="E894" s="35"/>
    </row>
    <row r="895" ht="12.75" customHeight="1">
      <c r="A895" s="63"/>
      <c r="B895" s="64"/>
      <c r="C895" s="35"/>
      <c r="D895" s="41"/>
      <c r="E895" s="35"/>
    </row>
    <row r="896" ht="12.75" customHeight="1">
      <c r="A896" s="63"/>
      <c r="B896" s="64"/>
      <c r="C896" s="35"/>
      <c r="D896" s="41"/>
      <c r="E896" s="35"/>
    </row>
    <row r="897" ht="12.75" customHeight="1">
      <c r="A897" s="63"/>
      <c r="B897" s="64"/>
      <c r="C897" s="35"/>
      <c r="D897" s="41"/>
      <c r="E897" s="35"/>
    </row>
    <row r="898" ht="12.75" customHeight="1">
      <c r="A898" s="63"/>
      <c r="B898" s="64"/>
      <c r="C898" s="35"/>
      <c r="D898" s="41"/>
      <c r="E898" s="35"/>
    </row>
    <row r="899" ht="12.75" customHeight="1">
      <c r="A899" s="63"/>
      <c r="B899" s="64"/>
      <c r="C899" s="35"/>
      <c r="D899" s="41"/>
      <c r="E899" s="35"/>
    </row>
    <row r="900" ht="12.75" customHeight="1">
      <c r="A900" s="63"/>
      <c r="B900" s="64"/>
      <c r="C900" s="35"/>
      <c r="D900" s="41"/>
      <c r="E900" s="35"/>
    </row>
    <row r="901" ht="12.75" customHeight="1">
      <c r="A901" s="63"/>
      <c r="B901" s="64"/>
      <c r="C901" s="35"/>
      <c r="D901" s="41"/>
      <c r="E901" s="35"/>
    </row>
    <row r="902" ht="12.75" customHeight="1">
      <c r="A902" s="63"/>
      <c r="B902" s="64"/>
      <c r="C902" s="35"/>
      <c r="D902" s="41"/>
      <c r="E902" s="35"/>
    </row>
    <row r="903" ht="12.75" customHeight="1">
      <c r="A903" s="63"/>
      <c r="B903" s="64"/>
      <c r="C903" s="35"/>
      <c r="D903" s="41"/>
      <c r="E903" s="35"/>
    </row>
    <row r="904" ht="12.75" customHeight="1">
      <c r="A904" s="63"/>
      <c r="B904" s="64"/>
      <c r="C904" s="35"/>
      <c r="D904" s="41"/>
      <c r="E904" s="35"/>
    </row>
    <row r="905" ht="12.75" customHeight="1">
      <c r="A905" s="63"/>
      <c r="B905" s="64"/>
      <c r="C905" s="35"/>
      <c r="D905" s="41"/>
      <c r="E905" s="35"/>
    </row>
    <row r="906" ht="12.75" customHeight="1">
      <c r="A906" s="63"/>
      <c r="B906" s="64"/>
      <c r="C906" s="35"/>
      <c r="D906" s="41"/>
      <c r="E906" s="35"/>
    </row>
    <row r="907" ht="12.75" customHeight="1">
      <c r="A907" s="63"/>
      <c r="B907" s="64"/>
      <c r="C907" s="35"/>
      <c r="D907" s="41"/>
      <c r="E907" s="35"/>
    </row>
    <row r="908" ht="12.75" customHeight="1">
      <c r="A908" s="63"/>
      <c r="B908" s="64"/>
      <c r="C908" s="35"/>
      <c r="D908" s="41"/>
      <c r="E908" s="35"/>
    </row>
    <row r="909" ht="12.75" customHeight="1">
      <c r="A909" s="63"/>
      <c r="B909" s="64"/>
      <c r="C909" s="35"/>
      <c r="D909" s="41"/>
      <c r="E909" s="35"/>
    </row>
    <row r="910" ht="12.75" customHeight="1">
      <c r="A910" s="63"/>
      <c r="B910" s="64"/>
      <c r="C910" s="35"/>
      <c r="D910" s="41"/>
      <c r="E910" s="35"/>
    </row>
    <row r="911" ht="12.75" customHeight="1">
      <c r="A911" s="63"/>
      <c r="B911" s="64"/>
      <c r="C911" s="35"/>
      <c r="D911" s="41"/>
      <c r="E911" s="35"/>
    </row>
    <row r="912" ht="12.75" customHeight="1">
      <c r="A912" s="63"/>
      <c r="B912" s="64"/>
      <c r="C912" s="35"/>
      <c r="D912" s="41"/>
      <c r="E912" s="35"/>
    </row>
    <row r="913" ht="12.75" customHeight="1">
      <c r="A913" s="63"/>
      <c r="B913" s="64"/>
      <c r="C913" s="35"/>
      <c r="D913" s="41"/>
      <c r="E913" s="35"/>
    </row>
    <row r="914" ht="12.75" customHeight="1">
      <c r="A914" s="63"/>
      <c r="B914" s="64"/>
      <c r="C914" s="35"/>
      <c r="D914" s="41"/>
      <c r="E914" s="35"/>
    </row>
    <row r="915" ht="12.75" customHeight="1">
      <c r="A915" s="63"/>
      <c r="B915" s="64"/>
      <c r="C915" s="35"/>
      <c r="D915" s="41"/>
      <c r="E915" s="35"/>
    </row>
    <row r="916" ht="12.75" customHeight="1">
      <c r="A916" s="63"/>
      <c r="B916" s="64"/>
      <c r="C916" s="35"/>
      <c r="D916" s="41"/>
      <c r="E916" s="35"/>
    </row>
    <row r="917" ht="12.75" customHeight="1">
      <c r="A917" s="63"/>
      <c r="B917" s="64"/>
      <c r="C917" s="35"/>
      <c r="D917" s="41"/>
      <c r="E917" s="35"/>
    </row>
    <row r="918" ht="12.75" customHeight="1">
      <c r="A918" s="63"/>
      <c r="B918" s="64"/>
      <c r="C918" s="35"/>
      <c r="D918" s="41"/>
      <c r="E918" s="35"/>
    </row>
    <row r="919" ht="12.75" customHeight="1">
      <c r="A919" s="63"/>
      <c r="B919" s="64"/>
      <c r="C919" s="35"/>
      <c r="D919" s="41"/>
      <c r="E919" s="35"/>
    </row>
    <row r="920" ht="12.75" customHeight="1">
      <c r="A920" s="63"/>
      <c r="B920" s="64"/>
      <c r="C920" s="35"/>
      <c r="D920" s="41"/>
      <c r="E920" s="35"/>
    </row>
    <row r="921" ht="12.75" customHeight="1">
      <c r="A921" s="63"/>
      <c r="B921" s="64"/>
      <c r="C921" s="35"/>
      <c r="D921" s="41"/>
      <c r="E921" s="35"/>
    </row>
    <row r="922" ht="12.75" customHeight="1">
      <c r="A922" s="63"/>
      <c r="B922" s="64"/>
      <c r="C922" s="35"/>
      <c r="D922" s="41"/>
      <c r="E922" s="35"/>
    </row>
    <row r="923" ht="12.75" customHeight="1">
      <c r="A923" s="63"/>
      <c r="B923" s="64"/>
      <c r="C923" s="35"/>
      <c r="D923" s="41"/>
      <c r="E923" s="35"/>
    </row>
    <row r="924" ht="12.75" customHeight="1">
      <c r="A924" s="63"/>
      <c r="B924" s="64"/>
      <c r="C924" s="35"/>
      <c r="D924" s="41"/>
      <c r="E924" s="35"/>
    </row>
    <row r="925" ht="12.75" customHeight="1">
      <c r="A925" s="63"/>
      <c r="B925" s="64"/>
      <c r="C925" s="35"/>
      <c r="D925" s="41"/>
      <c r="E925" s="35"/>
    </row>
    <row r="926" ht="12.75" customHeight="1">
      <c r="A926" s="63"/>
      <c r="B926" s="64"/>
      <c r="C926" s="35"/>
      <c r="D926" s="41"/>
      <c r="E926" s="35"/>
    </row>
    <row r="927" ht="12.75" customHeight="1">
      <c r="A927" s="63"/>
      <c r="B927" s="64"/>
      <c r="C927" s="35"/>
      <c r="D927" s="41"/>
      <c r="E927" s="35"/>
    </row>
    <row r="928" ht="12.75" customHeight="1">
      <c r="A928" s="63"/>
      <c r="B928" s="64"/>
      <c r="C928" s="35"/>
      <c r="D928" s="41"/>
      <c r="E928" s="35"/>
    </row>
    <row r="929" ht="12.75" customHeight="1">
      <c r="A929" s="63"/>
      <c r="B929" s="64"/>
      <c r="C929" s="35"/>
      <c r="D929" s="41"/>
      <c r="E929" s="35"/>
    </row>
    <row r="930" ht="12.75" customHeight="1">
      <c r="A930" s="63"/>
      <c r="B930" s="64"/>
      <c r="C930" s="35"/>
      <c r="D930" s="41"/>
      <c r="E930" s="35"/>
    </row>
    <row r="931" ht="12.75" customHeight="1">
      <c r="A931" s="63"/>
      <c r="B931" s="64"/>
      <c r="C931" s="35"/>
      <c r="D931" s="41"/>
      <c r="E931" s="35"/>
    </row>
    <row r="932" ht="12.75" customHeight="1">
      <c r="A932" s="63"/>
      <c r="B932" s="64"/>
      <c r="C932" s="35"/>
      <c r="D932" s="41"/>
      <c r="E932" s="35"/>
    </row>
    <row r="933" ht="12.75" customHeight="1">
      <c r="A933" s="63"/>
      <c r="B933" s="64"/>
      <c r="C933" s="35"/>
      <c r="D933" s="41"/>
      <c r="E933" s="35"/>
    </row>
    <row r="934" ht="12.75" customHeight="1">
      <c r="A934" s="63"/>
      <c r="B934" s="64"/>
      <c r="C934" s="35"/>
      <c r="D934" s="41"/>
      <c r="E934" s="35"/>
    </row>
    <row r="935" ht="12.75" customHeight="1">
      <c r="A935" s="63"/>
      <c r="B935" s="64"/>
      <c r="C935" s="35"/>
      <c r="D935" s="41"/>
      <c r="E935" s="35"/>
    </row>
    <row r="936" ht="12.75" customHeight="1">
      <c r="A936" s="63"/>
      <c r="B936" s="64"/>
      <c r="C936" s="35"/>
      <c r="D936" s="41"/>
      <c r="E936" s="35"/>
    </row>
    <row r="937" ht="12.75" customHeight="1">
      <c r="A937" s="63"/>
      <c r="B937" s="64"/>
      <c r="C937" s="35"/>
      <c r="D937" s="41"/>
      <c r="E937" s="35"/>
    </row>
    <row r="938" ht="12.75" customHeight="1">
      <c r="A938" s="63"/>
      <c r="B938" s="64"/>
      <c r="C938" s="35"/>
      <c r="D938" s="41"/>
      <c r="E938" s="35"/>
    </row>
    <row r="939" ht="12.75" customHeight="1">
      <c r="A939" s="63"/>
      <c r="B939" s="64"/>
      <c r="C939" s="35"/>
      <c r="D939" s="41"/>
      <c r="E939" s="35"/>
    </row>
    <row r="940" ht="12.75" customHeight="1">
      <c r="A940" s="63"/>
      <c r="B940" s="64"/>
      <c r="C940" s="35"/>
      <c r="D940" s="41"/>
      <c r="E940" s="35"/>
    </row>
    <row r="941" ht="12.75" customHeight="1">
      <c r="A941" s="63"/>
      <c r="B941" s="64"/>
      <c r="C941" s="35"/>
      <c r="D941" s="41"/>
      <c r="E941" s="35"/>
    </row>
    <row r="942" ht="12.75" customHeight="1">
      <c r="A942" s="63"/>
      <c r="B942" s="64"/>
      <c r="C942" s="35"/>
      <c r="D942" s="41"/>
      <c r="E942" s="35"/>
    </row>
    <row r="943" ht="12.75" customHeight="1">
      <c r="A943" s="63"/>
      <c r="B943" s="64"/>
      <c r="C943" s="35"/>
      <c r="D943" s="41"/>
      <c r="E943" s="35"/>
    </row>
    <row r="944" ht="12.75" customHeight="1">
      <c r="A944" s="63"/>
      <c r="B944" s="64"/>
      <c r="C944" s="35"/>
      <c r="D944" s="41"/>
      <c r="E944" s="35"/>
    </row>
    <row r="945" ht="12.75" customHeight="1">
      <c r="A945" s="63"/>
      <c r="B945" s="64"/>
      <c r="C945" s="35"/>
      <c r="D945" s="41"/>
      <c r="E945" s="35"/>
    </row>
    <row r="946" ht="12.75" customHeight="1">
      <c r="A946" s="63"/>
      <c r="B946" s="64"/>
      <c r="C946" s="35"/>
      <c r="D946" s="41"/>
      <c r="E946" s="35"/>
    </row>
    <row r="947" ht="12.75" customHeight="1">
      <c r="A947" s="63"/>
      <c r="B947" s="64"/>
      <c r="C947" s="35"/>
      <c r="D947" s="41"/>
      <c r="E947" s="35"/>
    </row>
    <row r="948" ht="12.75" customHeight="1">
      <c r="A948" s="63"/>
      <c r="B948" s="64"/>
      <c r="C948" s="35"/>
      <c r="D948" s="41"/>
      <c r="E948" s="35"/>
    </row>
    <row r="949" ht="12.75" customHeight="1">
      <c r="A949" s="63"/>
      <c r="B949" s="64"/>
      <c r="C949" s="35"/>
      <c r="D949" s="41"/>
      <c r="E949" s="35"/>
    </row>
    <row r="950" ht="12.75" customHeight="1">
      <c r="A950" s="63"/>
      <c r="B950" s="64"/>
      <c r="C950" s="35"/>
      <c r="D950" s="41"/>
      <c r="E950" s="35"/>
    </row>
    <row r="951" ht="12.75" customHeight="1">
      <c r="A951" s="63"/>
      <c r="B951" s="64"/>
      <c r="C951" s="35"/>
      <c r="D951" s="41"/>
      <c r="E951" s="35"/>
    </row>
    <row r="952" ht="12.75" customHeight="1">
      <c r="A952" s="63"/>
      <c r="B952" s="64"/>
      <c r="C952" s="35"/>
      <c r="D952" s="41"/>
      <c r="E952" s="35"/>
    </row>
    <row r="953" ht="12.75" customHeight="1">
      <c r="A953" s="63"/>
      <c r="B953" s="64"/>
      <c r="C953" s="35"/>
      <c r="D953" s="41"/>
      <c r="E953" s="35"/>
    </row>
    <row r="954" ht="12.75" customHeight="1">
      <c r="A954" s="63"/>
      <c r="B954" s="64"/>
      <c r="C954" s="35"/>
      <c r="D954" s="41"/>
      <c r="E954" s="35"/>
    </row>
    <row r="955" ht="12.75" customHeight="1">
      <c r="A955" s="63"/>
      <c r="B955" s="64"/>
      <c r="C955" s="35"/>
      <c r="D955" s="41"/>
      <c r="E955" s="35"/>
    </row>
    <row r="956" ht="12.75" customHeight="1">
      <c r="A956" s="63"/>
      <c r="B956" s="64"/>
      <c r="C956" s="35"/>
      <c r="D956" s="41"/>
      <c r="E956" s="35"/>
    </row>
    <row r="957" ht="12.75" customHeight="1">
      <c r="A957" s="63"/>
      <c r="B957" s="64"/>
      <c r="C957" s="35"/>
      <c r="D957" s="41"/>
      <c r="E957" s="35"/>
    </row>
    <row r="958" ht="12.75" customHeight="1">
      <c r="A958" s="63"/>
      <c r="B958" s="64"/>
      <c r="C958" s="35"/>
      <c r="D958" s="41"/>
      <c r="E958" s="35"/>
    </row>
    <row r="959" ht="12.75" customHeight="1">
      <c r="A959" s="63"/>
      <c r="B959" s="64"/>
      <c r="C959" s="35"/>
      <c r="D959" s="41"/>
      <c r="E959" s="35"/>
    </row>
    <row r="960" ht="12.75" customHeight="1">
      <c r="A960" s="63"/>
      <c r="B960" s="64"/>
      <c r="C960" s="35"/>
      <c r="D960" s="41"/>
      <c r="E960" s="35"/>
    </row>
    <row r="961" ht="12.75" customHeight="1">
      <c r="A961" s="63"/>
      <c r="B961" s="64"/>
      <c r="C961" s="35"/>
      <c r="D961" s="41"/>
      <c r="E961" s="35"/>
    </row>
    <row r="962" ht="12.75" customHeight="1">
      <c r="A962" s="63"/>
      <c r="B962" s="64"/>
      <c r="C962" s="35"/>
      <c r="D962" s="41"/>
      <c r="E962" s="35"/>
    </row>
    <row r="963" ht="12.75" customHeight="1">
      <c r="A963" s="63"/>
      <c r="B963" s="64"/>
      <c r="C963" s="35"/>
      <c r="D963" s="41"/>
      <c r="E963" s="35"/>
    </row>
    <row r="964" ht="12.75" customHeight="1">
      <c r="A964" s="63"/>
      <c r="B964" s="64"/>
      <c r="C964" s="35"/>
      <c r="D964" s="41"/>
      <c r="E964" s="35"/>
    </row>
    <row r="965" ht="12.75" customHeight="1">
      <c r="A965" s="63"/>
      <c r="B965" s="64"/>
      <c r="C965" s="35"/>
      <c r="D965" s="41"/>
      <c r="E965" s="35"/>
    </row>
    <row r="966" ht="12.75" customHeight="1">
      <c r="A966" s="63"/>
      <c r="B966" s="64"/>
      <c r="C966" s="35"/>
      <c r="D966" s="41"/>
      <c r="E966" s="35"/>
    </row>
    <row r="967" ht="12.75" customHeight="1">
      <c r="A967" s="63"/>
      <c r="B967" s="64"/>
      <c r="C967" s="35"/>
      <c r="D967" s="41"/>
      <c r="E967" s="35"/>
    </row>
    <row r="968" ht="12.75" customHeight="1">
      <c r="A968" s="63"/>
      <c r="B968" s="64"/>
      <c r="C968" s="35"/>
      <c r="D968" s="41"/>
      <c r="E968" s="35"/>
    </row>
    <row r="969" ht="12.75" customHeight="1">
      <c r="A969" s="63"/>
      <c r="B969" s="64"/>
      <c r="C969" s="35"/>
      <c r="D969" s="41"/>
      <c r="E969" s="35"/>
    </row>
    <row r="970" ht="12.75" customHeight="1">
      <c r="A970" s="63"/>
      <c r="B970" s="64"/>
      <c r="C970" s="35"/>
      <c r="D970" s="41"/>
      <c r="E970" s="35"/>
    </row>
    <row r="971" ht="12.75" customHeight="1">
      <c r="A971" s="63"/>
      <c r="B971" s="64"/>
      <c r="C971" s="35"/>
      <c r="D971" s="41"/>
      <c r="E971" s="35"/>
    </row>
    <row r="972" ht="12.75" customHeight="1">
      <c r="A972" s="63"/>
      <c r="B972" s="64"/>
      <c r="C972" s="35"/>
      <c r="D972" s="41"/>
      <c r="E972" s="35"/>
    </row>
    <row r="973" ht="12.75" customHeight="1">
      <c r="A973" s="63"/>
      <c r="B973" s="64"/>
      <c r="C973" s="35"/>
      <c r="D973" s="41"/>
      <c r="E973" s="35"/>
    </row>
    <row r="974" ht="12.75" customHeight="1">
      <c r="A974" s="63"/>
      <c r="B974" s="64"/>
      <c r="C974" s="35"/>
      <c r="D974" s="41"/>
      <c r="E974" s="35"/>
    </row>
    <row r="975" ht="12.75" customHeight="1">
      <c r="A975" s="63"/>
      <c r="B975" s="64"/>
      <c r="C975" s="35"/>
      <c r="D975" s="41"/>
      <c r="E975" s="35"/>
    </row>
    <row r="976" ht="12.75" customHeight="1">
      <c r="A976" s="63"/>
      <c r="B976" s="64"/>
      <c r="C976" s="35"/>
      <c r="D976" s="41"/>
      <c r="E976" s="35"/>
    </row>
    <row r="977" ht="12.75" customHeight="1">
      <c r="A977" s="63"/>
      <c r="B977" s="64"/>
      <c r="C977" s="35"/>
      <c r="D977" s="41"/>
      <c r="E977" s="35"/>
    </row>
    <row r="978" ht="12.75" customHeight="1">
      <c r="A978" s="63"/>
      <c r="B978" s="64"/>
      <c r="C978" s="35"/>
      <c r="D978" s="41"/>
      <c r="E978" s="35"/>
    </row>
    <row r="979" ht="12.75" customHeight="1">
      <c r="A979" s="63"/>
      <c r="B979" s="64"/>
      <c r="C979" s="35"/>
      <c r="D979" s="41"/>
      <c r="E979" s="35"/>
    </row>
    <row r="980" ht="12.75" customHeight="1">
      <c r="A980" s="63"/>
      <c r="B980" s="64"/>
      <c r="C980" s="35"/>
      <c r="D980" s="41"/>
      <c r="E980" s="35"/>
    </row>
    <row r="981" ht="12.75" customHeight="1">
      <c r="A981" s="63"/>
      <c r="B981" s="64"/>
      <c r="C981" s="35"/>
      <c r="D981" s="41"/>
      <c r="E981" s="35"/>
    </row>
    <row r="982" ht="12.75" customHeight="1">
      <c r="A982" s="63"/>
      <c r="B982" s="64"/>
      <c r="C982" s="35"/>
      <c r="D982" s="41"/>
      <c r="E982" s="35"/>
    </row>
    <row r="983" ht="12.75" customHeight="1">
      <c r="A983" s="63"/>
      <c r="B983" s="64"/>
      <c r="C983" s="35"/>
      <c r="D983" s="41"/>
      <c r="E983" s="35"/>
    </row>
    <row r="984" ht="12.75" customHeight="1">
      <c r="A984" s="63"/>
      <c r="B984" s="64"/>
      <c r="C984" s="35"/>
      <c r="D984" s="41"/>
      <c r="E984" s="35"/>
    </row>
    <row r="985" ht="12.75" customHeight="1">
      <c r="A985" s="63"/>
      <c r="B985" s="64"/>
      <c r="C985" s="35"/>
      <c r="D985" s="41"/>
      <c r="E985" s="35"/>
    </row>
    <row r="986" ht="12.75" customHeight="1">
      <c r="A986" s="63"/>
      <c r="B986" s="64"/>
      <c r="C986" s="35"/>
      <c r="D986" s="41"/>
      <c r="E986" s="35"/>
    </row>
    <row r="987" ht="12.75" customHeight="1">
      <c r="A987" s="63"/>
      <c r="B987" s="64"/>
      <c r="C987" s="35"/>
      <c r="D987" s="41"/>
      <c r="E987" s="35"/>
    </row>
    <row r="988" ht="12.75" customHeight="1">
      <c r="A988" s="63"/>
      <c r="B988" s="64"/>
      <c r="C988" s="35"/>
      <c r="D988" s="41"/>
      <c r="E988" s="35"/>
    </row>
    <row r="989" ht="12.75" customHeight="1">
      <c r="A989" s="63"/>
      <c r="B989" s="64"/>
      <c r="C989" s="35"/>
      <c r="D989" s="41"/>
      <c r="E989" s="35"/>
    </row>
    <row r="990" ht="12.75" customHeight="1">
      <c r="A990" s="63"/>
      <c r="B990" s="64"/>
      <c r="C990" s="35"/>
      <c r="D990" s="41"/>
      <c r="E990" s="35"/>
    </row>
    <row r="991" ht="12.75" customHeight="1">
      <c r="A991" s="63"/>
      <c r="B991" s="64"/>
      <c r="C991" s="35"/>
      <c r="D991" s="41"/>
      <c r="E991" s="35"/>
    </row>
    <row r="992" ht="12.75" customHeight="1">
      <c r="A992" s="63"/>
      <c r="B992" s="64"/>
      <c r="C992" s="35"/>
      <c r="D992" s="41"/>
      <c r="E992" s="35"/>
    </row>
    <row r="993" ht="12.75" customHeight="1">
      <c r="A993" s="63"/>
      <c r="B993" s="64"/>
      <c r="C993" s="35"/>
      <c r="D993" s="41"/>
      <c r="E993" s="35"/>
    </row>
    <row r="994" ht="12.75" customHeight="1">
      <c r="A994" s="63"/>
      <c r="B994" s="64"/>
      <c r="C994" s="35"/>
      <c r="D994" s="41"/>
      <c r="E994" s="35"/>
    </row>
    <row r="995" ht="12.75" customHeight="1">
      <c r="A995" s="63"/>
      <c r="B995" s="64"/>
      <c r="C995" s="35"/>
      <c r="D995" s="41"/>
      <c r="E995" s="35"/>
    </row>
    <row r="996" ht="12.75" customHeight="1">
      <c r="A996" s="63"/>
      <c r="B996" s="64"/>
      <c r="C996" s="35"/>
      <c r="D996" s="41"/>
      <c r="E996" s="35"/>
    </row>
    <row r="997" ht="12.75" customHeight="1">
      <c r="A997" s="63"/>
      <c r="B997" s="64"/>
      <c r="C997" s="35"/>
      <c r="D997" s="41"/>
      <c r="E997" s="35"/>
    </row>
    <row r="998" ht="12.75" customHeight="1">
      <c r="A998" s="63"/>
      <c r="B998" s="64"/>
      <c r="C998" s="35"/>
      <c r="D998" s="41"/>
      <c r="E998" s="35"/>
    </row>
    <row r="999" ht="12.75" customHeight="1">
      <c r="A999" s="63"/>
      <c r="B999" s="64"/>
      <c r="C999" s="35"/>
      <c r="D999" s="41"/>
      <c r="E999" s="35"/>
    </row>
    <row r="1000" ht="12.75" customHeight="1">
      <c r="A1000" s="63"/>
      <c r="B1000" s="64"/>
      <c r="C1000" s="35"/>
      <c r="D1000" s="41"/>
      <c r="E1000" s="35"/>
    </row>
    <row r="1001" ht="12.75" customHeight="1">
      <c r="A1001" s="63"/>
      <c r="B1001" s="64"/>
      <c r="C1001" s="35"/>
      <c r="D1001" s="41"/>
      <c r="E1001" s="35"/>
    </row>
    <row r="1002" ht="12.75" customHeight="1">
      <c r="A1002" s="63"/>
      <c r="B1002" s="64"/>
      <c r="C1002" s="35"/>
      <c r="D1002" s="41"/>
      <c r="E1002" s="35"/>
    </row>
    <row r="1003" ht="12.75" customHeight="1">
      <c r="A1003" s="63"/>
      <c r="B1003" s="64"/>
      <c r="C1003" s="35"/>
      <c r="D1003" s="41"/>
      <c r="E1003" s="35"/>
    </row>
    <row r="1004" ht="12.75" customHeight="1">
      <c r="A1004" s="63"/>
      <c r="B1004" s="64"/>
      <c r="C1004" s="35"/>
      <c r="D1004" s="41"/>
      <c r="E1004" s="35"/>
    </row>
    <row r="1005" ht="12.75" customHeight="1">
      <c r="A1005" s="63"/>
      <c r="B1005" s="64"/>
      <c r="C1005" s="35"/>
      <c r="D1005" s="41"/>
      <c r="E1005" s="35"/>
    </row>
  </sheetData>
  <autoFilter ref="$A$2:$E$230"/>
  <mergeCells count="5">
    <mergeCell ref="A1:E1"/>
    <mergeCell ref="G2:H2"/>
    <mergeCell ref="G11:H11"/>
    <mergeCell ref="G12:H12"/>
    <mergeCell ref="G13:H13"/>
  </mergeCells>
  <conditionalFormatting sqref="G9">
    <cfRule type="containsText" dxfId="9" priority="1" operator="containsText" text="Completed">
      <formula>NOT(ISERROR(SEARCH(("Completed"),(G9))))</formula>
    </cfRule>
  </conditionalFormatting>
  <conditionalFormatting sqref="G9">
    <cfRule type="containsText" dxfId="10" priority="2" operator="containsText" text="Pending">
      <formula>NOT(ISERROR(SEARCH(("Pending"),(G9))))</formula>
    </cfRule>
  </conditionalFormatting>
  <conditionalFormatting sqref="D3:D1005 H3:H9">
    <cfRule type="containsText" dxfId="0" priority="3" operator="containsText" text="Done">
      <formula>NOT(ISERROR(SEARCH(("Done"),(D3))))</formula>
    </cfRule>
  </conditionalFormatting>
  <conditionalFormatting sqref="D3:D1005 H3:H9">
    <cfRule type="containsText" dxfId="1" priority="4" operator="containsText" text="In Progress">
      <formula>NOT(ISERROR(SEARCH(("In Progress"),(D3))))</formula>
    </cfRule>
  </conditionalFormatting>
  <conditionalFormatting sqref="D3:D1005 H3:H9">
    <cfRule type="containsText" dxfId="11" priority="5" operator="containsText" text="Not Started">
      <formula>NOT(ISERROR(SEARCH(("Not Started"),(D3))))</formula>
    </cfRule>
  </conditionalFormatting>
  <conditionalFormatting sqref="D3:D1005 H3:H9">
    <cfRule type="containsText" dxfId="3" priority="6" operator="containsText" text="NA">
      <formula>NOT(ISERROR(SEARCH(("NA"),(D3))))</formula>
    </cfRule>
  </conditionalFormatting>
  <conditionalFormatting sqref="D3:D1005 H7">
    <cfRule type="containsText" dxfId="12" priority="7" operator="containsText" text="Issue Triggered">
      <formula>NOT(ISERROR(SEARCH(("Issue Triggered"),(D3))))</formula>
    </cfRule>
  </conditionalFormatting>
  <conditionalFormatting sqref="D2 H3:H9 D4:D11 D13:D22 D24:D29 D31:D1005">
    <cfRule type="containsText" dxfId="13" priority="8" operator="containsText" text="PASS">
      <formula>NOT(ISERROR(SEARCH(("PASS"),(D2))))</formula>
    </cfRule>
  </conditionalFormatting>
  <conditionalFormatting sqref="D2 H3:H9 D4:D11 D13:D22 D24:D29 D31:D1005">
    <cfRule type="containsText" dxfId="14" priority="9" operator="containsText" text="CHECK">
      <formula>NOT(ISERROR(SEARCH(("CHECK"),(D2))))</formula>
    </cfRule>
  </conditionalFormatting>
  <conditionalFormatting sqref="D2 H3:H9 D4:D11 D13:D22 D24:D29 D31:D1005">
    <cfRule type="containsText" dxfId="15" priority="10" operator="containsText" text="PROBLEM">
      <formula>NOT(ISERROR(SEARCH(("PROBLEM"),(D2))))</formula>
    </cfRule>
  </conditionalFormatting>
  <conditionalFormatting sqref="D2 H3:H9 D4:D11 D13:D22 D24:D29 D31:D1005">
    <cfRule type="containsText" dxfId="16" priority="11" operator="containsText" text="NOT CHECKED">
      <formula>NOT(ISERROR(SEARCH(("NOT CHECKED"),(D2))))</formula>
    </cfRule>
  </conditionalFormatting>
  <conditionalFormatting sqref="D2 H3:H9 D4:D11 D13:D22 D24:D29 D31:D1005">
    <cfRule type="containsText" dxfId="17" priority="12" operator="containsText" text="NOT USED">
      <formula>NOT(ISERROR(SEARCH(("NOT USED"),(D2))))</formula>
    </cfRule>
  </conditionalFormatting>
  <conditionalFormatting sqref="D2 H3:H9 D4:D11 D13:D22 D24:D29 D31:D1005">
    <cfRule type="containsText" dxfId="18" priority="13" operator="containsText" text="N/A">
      <formula>NOT(ISERROR(SEARCH(("N/A"),(D2))))</formula>
    </cfRule>
  </conditionalFormatting>
  <conditionalFormatting sqref="D4:D11">
    <cfRule type="containsText" dxfId="13" priority="14" operator="containsText" text="PASS">
      <formula>NOT(ISERROR(SEARCH(("PASS"),(D4))))</formula>
    </cfRule>
  </conditionalFormatting>
  <conditionalFormatting sqref="D4:D11">
    <cfRule type="containsText" dxfId="14" priority="15" operator="containsText" text="CHECK">
      <formula>NOT(ISERROR(SEARCH(("CHECK"),(D4))))</formula>
    </cfRule>
  </conditionalFormatting>
  <conditionalFormatting sqref="D4:D11">
    <cfRule type="containsText" dxfId="15" priority="16" operator="containsText" text="PROBLEM">
      <formula>NOT(ISERROR(SEARCH(("PROBLEM"),(D4))))</formula>
    </cfRule>
  </conditionalFormatting>
  <conditionalFormatting sqref="D4:D11">
    <cfRule type="containsText" dxfId="16" priority="17" operator="containsText" text="NOT CHECKED">
      <formula>NOT(ISERROR(SEARCH(("NOT CHECKED"),(D4))))</formula>
    </cfRule>
  </conditionalFormatting>
  <conditionalFormatting sqref="D4:D11">
    <cfRule type="containsText" dxfId="17" priority="18" operator="containsText" text="NOT USED">
      <formula>NOT(ISERROR(SEARCH(("NOT USED"),(D4))))</formula>
    </cfRule>
  </conditionalFormatting>
  <conditionalFormatting sqref="D4:D11">
    <cfRule type="containsText" dxfId="18" priority="19" operator="containsText" text="N/A">
      <formula>NOT(ISERROR(SEARCH(("N/A"),(D4))))</formula>
    </cfRule>
  </conditionalFormatting>
  <dataValidations>
    <dataValidation type="list" allowBlank="1" showInputMessage="1" showErrorMessage="1" prompt="Select Status" sqref="D3:D1005">
      <formula1>"Done,In Progress,Issue Triggered,Not Started,NA"</formula1>
    </dataValidation>
  </dataValidations>
  <hyperlinks>
    <hyperlink r:id="rId1" ref="A2"/>
    <hyperlink display="Previous" location="'PCIe Connector'!A1" ref="G11"/>
    <hyperlink display="Home" location="Overview!A1" ref="G12"/>
    <hyperlink display="Next" location="Addon_Sheet1!A1" ref="G13"/>
  </hyperlinks>
  <printOptions/>
  <pageMargins bottom="0.75" footer="0.0" header="0.0" left="0.7" right="0.7" top="0.75"/>
  <pageSetup orientation="landscape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6.0"/>
    <col customWidth="1" min="3" max="3" width="32.38"/>
    <col customWidth="1" min="4" max="4" width="41.38"/>
    <col customWidth="1" min="5" max="5" width="17.88"/>
    <col customWidth="1" min="6" max="6" width="30.5"/>
    <col customWidth="1" min="9" max="9" width="13.13"/>
  </cols>
  <sheetData>
    <row r="1" ht="12.75" customHeight="1">
      <c r="A1" s="1" t="s">
        <v>150</v>
      </c>
      <c r="B1" s="2"/>
      <c r="C1" s="2"/>
      <c r="D1" s="2"/>
      <c r="E1" s="2"/>
      <c r="F1" s="3"/>
    </row>
    <row r="2" ht="18.75" customHeight="1">
      <c r="A2" s="8" t="s">
        <v>2</v>
      </c>
      <c r="B2" s="9" t="s">
        <v>151</v>
      </c>
      <c r="C2" s="9" t="s">
        <v>152</v>
      </c>
      <c r="D2" s="36" t="s">
        <v>153</v>
      </c>
      <c r="E2" s="36" t="s">
        <v>7</v>
      </c>
      <c r="F2" s="37" t="s">
        <v>8</v>
      </c>
      <c r="G2" s="90"/>
      <c r="H2" s="38" t="s">
        <v>59</v>
      </c>
      <c r="I2" s="3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2.75" customHeight="1">
      <c r="A3" s="91"/>
      <c r="B3" s="73"/>
      <c r="C3" s="73"/>
      <c r="D3" s="73"/>
      <c r="E3" s="41"/>
      <c r="F3" s="92"/>
      <c r="H3" s="43">
        <f>COUNTIF(E:E,"Done")</f>
        <v>0</v>
      </c>
      <c r="I3" s="41" t="s">
        <v>62</v>
      </c>
    </row>
    <row r="4" ht="12.75" customHeight="1">
      <c r="A4" s="91"/>
      <c r="B4" s="73"/>
      <c r="C4" s="73"/>
      <c r="D4" s="73"/>
      <c r="E4" s="41"/>
      <c r="F4" s="92"/>
      <c r="H4" s="43">
        <f>COUNTIF(E:E,"In Progress")</f>
        <v>0</v>
      </c>
      <c r="I4" s="41" t="s">
        <v>64</v>
      </c>
    </row>
    <row r="5" ht="12.75" customHeight="1">
      <c r="A5" s="91"/>
      <c r="B5" s="93"/>
      <c r="C5" s="93"/>
      <c r="D5" s="73"/>
      <c r="E5" s="41"/>
      <c r="F5" s="92"/>
      <c r="H5" s="43">
        <f>COUNTIF(E:E,"Issue Triggered")</f>
        <v>0</v>
      </c>
      <c r="I5" s="46" t="s">
        <v>15</v>
      </c>
    </row>
    <row r="6" ht="12.75" customHeight="1">
      <c r="A6" s="91"/>
      <c r="B6" s="73"/>
      <c r="C6" s="73"/>
      <c r="D6" s="73"/>
      <c r="E6" s="41"/>
      <c r="F6" s="92"/>
      <c r="H6" s="43">
        <f t="shared" ref="H6:H7" si="1">COUNTIF(E:E,"NA")</f>
        <v>0</v>
      </c>
      <c r="I6" s="47" t="s">
        <v>67</v>
      </c>
    </row>
    <row r="7" ht="12.75" customHeight="1">
      <c r="A7" s="91"/>
      <c r="B7" s="73"/>
      <c r="C7" s="73"/>
      <c r="D7" s="73"/>
      <c r="E7" s="41"/>
      <c r="F7" s="92"/>
      <c r="H7" s="43">
        <f t="shared" si="1"/>
        <v>0</v>
      </c>
      <c r="I7" s="48" t="s">
        <v>61</v>
      </c>
    </row>
    <row r="8" ht="12.75" customHeight="1">
      <c r="A8" s="91"/>
      <c r="B8" s="73"/>
      <c r="C8" s="73"/>
      <c r="D8" s="73"/>
      <c r="E8" s="41"/>
      <c r="F8" s="92"/>
      <c r="H8" s="43">
        <f>COUNTIF(C4:C1000,"&lt;&gt;")</f>
        <v>0</v>
      </c>
      <c r="I8" s="49" t="s">
        <v>70</v>
      </c>
    </row>
    <row r="9" ht="12.75" customHeight="1">
      <c r="A9" s="91"/>
      <c r="B9" s="73"/>
      <c r="C9" s="73"/>
      <c r="D9" s="73"/>
      <c r="E9" s="41"/>
      <c r="F9" s="92"/>
      <c r="H9" s="66" t="str">
        <f>IF((H8)=(H3+H7),"Completed","Pending")</f>
        <v>Completed</v>
      </c>
      <c r="I9" s="51" t="s">
        <v>72</v>
      </c>
    </row>
    <row r="10" ht="12.75" customHeight="1">
      <c r="A10" s="91"/>
      <c r="B10" s="73"/>
      <c r="C10" s="73"/>
      <c r="D10" s="73"/>
      <c r="E10" s="41"/>
      <c r="F10" s="92"/>
    </row>
    <row r="11" ht="12.75" customHeight="1">
      <c r="A11" s="91"/>
      <c r="B11" s="73"/>
      <c r="C11" s="73"/>
      <c r="D11" s="73"/>
      <c r="E11" s="41"/>
      <c r="F11" s="92"/>
      <c r="H11" s="81" t="s">
        <v>137</v>
      </c>
      <c r="I11" s="6"/>
    </row>
    <row r="12" ht="12.75" customHeight="1">
      <c r="A12" s="91"/>
      <c r="B12" s="73"/>
      <c r="C12" s="73"/>
      <c r="D12" s="73"/>
      <c r="E12" s="41"/>
      <c r="F12" s="92"/>
      <c r="H12" s="82" t="s">
        <v>77</v>
      </c>
      <c r="I12" s="6"/>
    </row>
    <row r="13" ht="12.75" customHeight="1">
      <c r="A13" s="91"/>
      <c r="B13" s="73"/>
      <c r="C13" s="73"/>
      <c r="D13" s="73"/>
      <c r="E13" s="41"/>
      <c r="F13" s="92"/>
      <c r="H13" s="81" t="s">
        <v>79</v>
      </c>
      <c r="I13" s="6"/>
    </row>
    <row r="14" ht="12.75" customHeight="1">
      <c r="A14" s="91"/>
      <c r="B14" s="73"/>
      <c r="C14" s="73"/>
      <c r="D14" s="73"/>
      <c r="E14" s="41"/>
      <c r="F14" s="92"/>
    </row>
    <row r="15" ht="12.75" customHeight="1">
      <c r="A15" s="91"/>
      <c r="B15" s="73"/>
      <c r="C15" s="73"/>
      <c r="D15" s="73"/>
      <c r="E15" s="41"/>
      <c r="F15" s="92"/>
    </row>
    <row r="16" ht="12.75" customHeight="1">
      <c r="A16" s="91"/>
      <c r="B16" s="73"/>
      <c r="C16" s="73"/>
      <c r="D16" s="73"/>
      <c r="E16" s="41"/>
      <c r="F16" s="94" t="s">
        <v>154</v>
      </c>
    </row>
    <row r="17" ht="12.75" customHeight="1">
      <c r="A17" s="91"/>
      <c r="B17" s="73"/>
      <c r="C17" s="73"/>
      <c r="D17" s="73"/>
      <c r="E17" s="41"/>
      <c r="F17" s="92"/>
      <c r="H17" s="74" t="s">
        <v>86</v>
      </c>
    </row>
    <row r="18" ht="12.75" customHeight="1">
      <c r="A18" s="91"/>
      <c r="B18" s="73"/>
      <c r="C18" s="73"/>
      <c r="D18" s="73"/>
      <c r="E18" s="41"/>
      <c r="F18" s="92"/>
      <c r="H18" s="74" t="s">
        <v>86</v>
      </c>
    </row>
    <row r="19" ht="12.75" customHeight="1">
      <c r="A19" s="91"/>
      <c r="B19" s="73"/>
      <c r="C19" s="73"/>
      <c r="D19" s="73"/>
      <c r="E19" s="41"/>
      <c r="F19" s="92"/>
    </row>
    <row r="20" ht="12.75" customHeight="1">
      <c r="A20" s="91"/>
      <c r="B20" s="73"/>
      <c r="C20" s="73"/>
      <c r="D20" s="73"/>
      <c r="E20" s="41"/>
      <c r="F20" s="92"/>
    </row>
    <row r="21" ht="12.75" customHeight="1">
      <c r="A21" s="91"/>
      <c r="B21" s="73"/>
      <c r="C21" s="73"/>
      <c r="D21" s="73"/>
      <c r="E21" s="41"/>
      <c r="F21" s="92"/>
    </row>
    <row r="22" ht="12.75" customHeight="1">
      <c r="A22" s="91"/>
      <c r="B22" s="73"/>
      <c r="C22" s="73"/>
      <c r="D22" s="73"/>
      <c r="E22" s="41"/>
      <c r="F22" s="92"/>
    </row>
    <row r="23" ht="12.75" customHeight="1">
      <c r="A23" s="91"/>
      <c r="B23" s="93"/>
      <c r="C23" s="93"/>
      <c r="D23" s="73"/>
      <c r="E23" s="41"/>
      <c r="F23" s="92"/>
    </row>
    <row r="24" ht="12.75" customHeight="1">
      <c r="A24" s="91"/>
      <c r="B24" s="93"/>
      <c r="C24" s="93"/>
      <c r="D24" s="73"/>
      <c r="E24" s="41"/>
      <c r="F24" s="92"/>
    </row>
    <row r="25" ht="12.75" customHeight="1">
      <c r="A25" s="91"/>
      <c r="B25" s="73"/>
      <c r="C25" s="73"/>
      <c r="D25" s="73"/>
      <c r="E25" s="41"/>
      <c r="F25" s="92"/>
    </row>
    <row r="26" ht="12.75" customHeight="1">
      <c r="A26" s="91"/>
      <c r="B26" s="73"/>
      <c r="C26" s="73"/>
      <c r="D26" s="73"/>
      <c r="E26" s="41"/>
      <c r="F26" s="92"/>
    </row>
    <row r="27" ht="12.75" customHeight="1">
      <c r="A27" s="91"/>
      <c r="B27" s="73"/>
      <c r="C27" s="73"/>
      <c r="D27" s="73"/>
      <c r="E27" s="41"/>
      <c r="F27" s="92"/>
    </row>
    <row r="28" ht="12.75" customHeight="1">
      <c r="A28" s="91"/>
      <c r="B28" s="73"/>
      <c r="C28" s="73"/>
      <c r="D28" s="73"/>
      <c r="E28" s="41"/>
      <c r="F28" s="92"/>
    </row>
    <row r="29" ht="12.75" customHeight="1">
      <c r="A29" s="91"/>
      <c r="B29" s="93"/>
      <c r="C29" s="93"/>
      <c r="D29" s="73"/>
      <c r="E29" s="41"/>
      <c r="F29" s="92"/>
    </row>
    <row r="30" ht="12.75" customHeight="1">
      <c r="A30" s="95"/>
      <c r="B30" s="73"/>
      <c r="C30" s="73"/>
      <c r="D30" s="73"/>
      <c r="E30" s="41"/>
      <c r="F30" s="92"/>
    </row>
    <row r="31" ht="12.75" customHeight="1">
      <c r="A31" s="95"/>
      <c r="B31" s="73"/>
      <c r="C31" s="73"/>
      <c r="D31" s="73"/>
      <c r="E31" s="41"/>
      <c r="F31" s="92"/>
    </row>
    <row r="32" ht="12.75" customHeight="1">
      <c r="A32" s="95"/>
      <c r="B32" s="73"/>
      <c r="C32" s="73"/>
      <c r="D32" s="73"/>
      <c r="E32" s="41"/>
      <c r="F32" s="92"/>
    </row>
    <row r="33" ht="12.75" customHeight="1">
      <c r="A33" s="95"/>
      <c r="B33" s="73"/>
      <c r="C33" s="73"/>
      <c r="D33" s="73"/>
      <c r="E33" s="41"/>
      <c r="F33" s="92"/>
    </row>
    <row r="34" ht="12.75" customHeight="1">
      <c r="A34" s="95"/>
      <c r="B34" s="73"/>
      <c r="C34" s="73"/>
      <c r="D34" s="73"/>
      <c r="E34" s="41"/>
      <c r="F34" s="92"/>
    </row>
    <row r="35" ht="12.75" customHeight="1">
      <c r="A35" s="95"/>
      <c r="B35" s="73"/>
      <c r="C35" s="73"/>
      <c r="D35" s="73"/>
      <c r="E35" s="41"/>
      <c r="F35" s="92"/>
    </row>
    <row r="36" ht="12.75" customHeight="1">
      <c r="A36" s="95"/>
      <c r="B36" s="73"/>
      <c r="C36" s="73"/>
      <c r="D36" s="73"/>
      <c r="E36" s="41"/>
      <c r="F36" s="92"/>
    </row>
    <row r="37" ht="12.75" customHeight="1">
      <c r="A37" s="95"/>
      <c r="B37" s="96"/>
      <c r="C37" s="96"/>
      <c r="D37" s="73"/>
      <c r="E37" s="41"/>
      <c r="F37" s="92"/>
    </row>
    <row r="38" ht="12.75" customHeight="1">
      <c r="A38" s="95"/>
      <c r="B38" s="96"/>
      <c r="C38" s="96"/>
      <c r="D38" s="73"/>
      <c r="E38" s="41"/>
      <c r="F38" s="92"/>
    </row>
    <row r="39" ht="12.75" customHeight="1">
      <c r="A39" s="95"/>
      <c r="B39" s="73"/>
      <c r="C39" s="73"/>
      <c r="D39" s="73"/>
      <c r="E39" s="41"/>
      <c r="F39" s="92"/>
    </row>
    <row r="40" ht="12.75" customHeight="1">
      <c r="A40" s="95"/>
      <c r="B40" s="73"/>
      <c r="C40" s="73"/>
      <c r="D40" s="73"/>
      <c r="E40" s="41"/>
      <c r="F40" s="92"/>
    </row>
    <row r="41" ht="12.75" customHeight="1">
      <c r="A41" s="95"/>
      <c r="B41" s="73"/>
      <c r="C41" s="73"/>
      <c r="D41" s="73"/>
      <c r="E41" s="41"/>
      <c r="F41" s="92"/>
    </row>
    <row r="42" ht="12.75" customHeight="1">
      <c r="A42" s="95"/>
      <c r="B42" s="73"/>
      <c r="C42" s="73"/>
      <c r="D42" s="73"/>
      <c r="E42" s="41"/>
      <c r="F42" s="92"/>
    </row>
    <row r="43" ht="12.75" customHeight="1">
      <c r="A43" s="95"/>
      <c r="B43" s="73"/>
      <c r="C43" s="73"/>
      <c r="D43" s="73"/>
      <c r="E43" s="41"/>
      <c r="F43" s="92"/>
    </row>
    <row r="44" ht="12.75" customHeight="1">
      <c r="A44" s="97"/>
      <c r="B44" s="73"/>
      <c r="C44" s="73"/>
      <c r="D44" s="73"/>
      <c r="E44" s="41"/>
      <c r="F44" s="92"/>
    </row>
    <row r="45" ht="12.75" customHeight="1">
      <c r="A45" s="95"/>
      <c r="B45" s="73"/>
      <c r="C45" s="73"/>
      <c r="D45" s="73"/>
      <c r="E45" s="41"/>
      <c r="F45" s="92"/>
    </row>
    <row r="46" ht="12.75" customHeight="1">
      <c r="A46" s="95"/>
      <c r="B46" s="73"/>
      <c r="C46" s="73"/>
      <c r="D46" s="73"/>
      <c r="E46" s="41"/>
      <c r="F46" s="92"/>
    </row>
    <row r="47" ht="12.75" customHeight="1">
      <c r="A47" s="95"/>
      <c r="B47" s="73"/>
      <c r="C47" s="73"/>
      <c r="D47" s="73"/>
      <c r="E47" s="41"/>
      <c r="F47" s="92"/>
    </row>
    <row r="48" ht="12.75" customHeight="1">
      <c r="A48" s="95"/>
      <c r="B48" s="73"/>
      <c r="C48" s="73"/>
      <c r="D48" s="73"/>
      <c r="E48" s="41"/>
      <c r="F48" s="92"/>
    </row>
    <row r="49" ht="12.75" customHeight="1">
      <c r="A49" s="95"/>
      <c r="B49" s="73"/>
      <c r="C49" s="73"/>
      <c r="D49" s="73"/>
      <c r="E49" s="41"/>
      <c r="F49" s="92"/>
    </row>
    <row r="50" ht="12.75" customHeight="1">
      <c r="A50" s="97"/>
      <c r="B50" s="73"/>
      <c r="C50" s="73"/>
      <c r="D50" s="73"/>
      <c r="E50" s="41"/>
      <c r="F50" s="92"/>
    </row>
    <row r="51" ht="12.75" customHeight="1">
      <c r="A51" s="97"/>
      <c r="B51" s="73"/>
      <c r="C51" s="73"/>
      <c r="D51" s="73"/>
      <c r="E51" s="41"/>
      <c r="F51" s="92"/>
    </row>
    <row r="52" ht="12.75" customHeight="1">
      <c r="A52" s="95"/>
      <c r="B52" s="73"/>
      <c r="C52" s="73"/>
      <c r="D52" s="73"/>
      <c r="E52" s="41"/>
      <c r="F52" s="92"/>
    </row>
    <row r="53" ht="12.75" customHeight="1">
      <c r="A53" s="95"/>
      <c r="B53" s="73"/>
      <c r="C53" s="73"/>
      <c r="D53" s="73"/>
      <c r="E53" s="41"/>
      <c r="F53" s="92"/>
    </row>
    <row r="54" ht="12.75" customHeight="1">
      <c r="A54" s="95"/>
      <c r="B54" s="73"/>
      <c r="C54" s="73"/>
      <c r="D54" s="73"/>
      <c r="E54" s="41"/>
      <c r="F54" s="92"/>
    </row>
    <row r="55" ht="12.75" customHeight="1">
      <c r="A55" s="95"/>
      <c r="B55" s="73"/>
      <c r="C55" s="73"/>
      <c r="D55" s="73"/>
      <c r="E55" s="41"/>
      <c r="F55" s="92"/>
    </row>
    <row r="56" ht="12.75" customHeight="1">
      <c r="A56" s="95"/>
      <c r="B56" s="73"/>
      <c r="C56" s="73"/>
      <c r="D56" s="73"/>
      <c r="E56" s="41"/>
      <c r="F56" s="92"/>
    </row>
    <row r="57" ht="12.75" customHeight="1">
      <c r="A57" s="98"/>
      <c r="B57" s="73"/>
      <c r="C57" s="73"/>
      <c r="D57" s="73"/>
      <c r="E57" s="41"/>
      <c r="F57" s="92"/>
    </row>
    <row r="58" ht="12.75" customHeight="1">
      <c r="A58" s="95"/>
      <c r="B58" s="73"/>
      <c r="C58" s="73"/>
      <c r="D58" s="73"/>
      <c r="E58" s="41"/>
      <c r="F58" s="92"/>
    </row>
    <row r="59" ht="12.75" customHeight="1">
      <c r="A59" s="95"/>
      <c r="B59" s="73"/>
      <c r="C59" s="73"/>
      <c r="D59" s="73"/>
      <c r="E59" s="41"/>
      <c r="F59" s="92"/>
    </row>
    <row r="60" ht="12.75" customHeight="1">
      <c r="A60" s="95"/>
      <c r="B60" s="73"/>
      <c r="C60" s="73"/>
      <c r="D60" s="73"/>
      <c r="E60" s="41"/>
      <c r="F60" s="92"/>
    </row>
    <row r="61" ht="12.75" customHeight="1">
      <c r="A61" s="95"/>
      <c r="B61" s="73"/>
      <c r="C61" s="73"/>
      <c r="D61" s="73"/>
      <c r="E61" s="41"/>
      <c r="F61" s="92"/>
    </row>
    <row r="62" ht="12.75" customHeight="1">
      <c r="A62" s="95"/>
      <c r="B62" s="73"/>
      <c r="C62" s="73"/>
      <c r="D62" s="73"/>
      <c r="E62" s="41"/>
      <c r="F62" s="92"/>
    </row>
    <row r="63" ht="12.75" customHeight="1">
      <c r="A63" s="95"/>
      <c r="B63" s="73"/>
      <c r="C63" s="73"/>
      <c r="D63" s="73"/>
      <c r="E63" s="41"/>
      <c r="F63" s="92"/>
    </row>
    <row r="64" ht="12.75" customHeight="1">
      <c r="A64" s="95"/>
      <c r="B64" s="73"/>
      <c r="C64" s="73"/>
      <c r="D64" s="73"/>
      <c r="E64" s="41"/>
      <c r="F64" s="92"/>
    </row>
    <row r="65" ht="12.75" customHeight="1">
      <c r="A65" s="95"/>
      <c r="B65" s="73"/>
      <c r="C65" s="73"/>
      <c r="D65" s="73"/>
      <c r="E65" s="41"/>
      <c r="F65" s="92"/>
    </row>
    <row r="66" ht="12.75" customHeight="1">
      <c r="A66" s="99"/>
      <c r="B66" s="73"/>
      <c r="C66" s="73"/>
      <c r="D66" s="73"/>
      <c r="E66" s="41"/>
      <c r="F66" s="92"/>
    </row>
    <row r="67" ht="12.75" customHeight="1">
      <c r="A67" s="97"/>
      <c r="B67" s="73"/>
      <c r="C67" s="73"/>
      <c r="D67" s="73"/>
      <c r="E67" s="41"/>
      <c r="F67" s="92"/>
    </row>
    <row r="68" ht="12.75" customHeight="1">
      <c r="A68" s="95"/>
      <c r="B68" s="73"/>
      <c r="C68" s="73"/>
      <c r="D68" s="73"/>
      <c r="E68" s="41"/>
      <c r="F68" s="92"/>
    </row>
    <row r="69" ht="12.75" customHeight="1">
      <c r="A69" s="95"/>
      <c r="B69" s="73"/>
      <c r="C69" s="73"/>
      <c r="D69" s="73"/>
      <c r="E69" s="41"/>
      <c r="F69" s="92"/>
    </row>
    <row r="70" ht="12.75" customHeight="1">
      <c r="A70" s="95"/>
      <c r="B70" s="73"/>
      <c r="C70" s="73"/>
      <c r="D70" s="73"/>
      <c r="E70" s="41"/>
      <c r="F70" s="92"/>
    </row>
    <row r="71" ht="12.75" customHeight="1">
      <c r="A71" s="95"/>
      <c r="B71" s="73"/>
      <c r="C71" s="73"/>
      <c r="D71" s="73"/>
      <c r="E71" s="41"/>
      <c r="F71" s="92"/>
    </row>
    <row r="72" ht="12.75" customHeight="1">
      <c r="A72" s="95"/>
      <c r="B72" s="73"/>
      <c r="C72" s="73"/>
      <c r="D72" s="73"/>
      <c r="E72" s="41"/>
      <c r="F72" s="92"/>
    </row>
    <row r="73" ht="12.75" customHeight="1">
      <c r="A73" s="95"/>
      <c r="B73" s="73"/>
      <c r="C73" s="73"/>
      <c r="D73" s="73"/>
      <c r="E73" s="41"/>
      <c r="F73" s="92"/>
    </row>
    <row r="74" ht="12.75" customHeight="1">
      <c r="A74" s="95"/>
      <c r="B74" s="73"/>
      <c r="C74" s="73"/>
      <c r="D74" s="73"/>
      <c r="E74" s="41"/>
      <c r="F74" s="92"/>
    </row>
    <row r="75" ht="12.75" customHeight="1">
      <c r="A75" s="95"/>
      <c r="B75" s="73"/>
      <c r="C75" s="73"/>
      <c r="D75" s="73"/>
      <c r="E75" s="41"/>
      <c r="F75" s="92"/>
    </row>
    <row r="76" ht="12.75" customHeight="1">
      <c r="A76" s="95"/>
      <c r="B76" s="73"/>
      <c r="C76" s="73"/>
      <c r="D76" s="73"/>
      <c r="E76" s="41"/>
      <c r="F76" s="92"/>
    </row>
    <row r="77" ht="12.75" customHeight="1">
      <c r="A77" s="95"/>
      <c r="B77" s="73"/>
      <c r="C77" s="73"/>
      <c r="D77" s="73"/>
      <c r="E77" s="41"/>
      <c r="F77" s="92"/>
    </row>
    <row r="78" ht="12.75" customHeight="1">
      <c r="A78" s="95"/>
      <c r="B78" s="73"/>
      <c r="C78" s="73"/>
      <c r="D78" s="73"/>
      <c r="E78" s="41"/>
      <c r="F78" s="92"/>
    </row>
    <row r="79" ht="12.75" customHeight="1">
      <c r="A79" s="95"/>
      <c r="B79" s="73"/>
      <c r="C79" s="73"/>
      <c r="D79" s="73"/>
      <c r="E79" s="41"/>
      <c r="F79" s="92"/>
    </row>
    <row r="80" ht="12.75" customHeight="1">
      <c r="A80" s="95"/>
      <c r="B80" s="73"/>
      <c r="C80" s="73"/>
      <c r="D80" s="73"/>
      <c r="E80" s="41"/>
      <c r="F80" s="92"/>
    </row>
    <row r="81" ht="12.75" customHeight="1">
      <c r="A81" s="95"/>
      <c r="B81" s="73"/>
      <c r="C81" s="73"/>
      <c r="D81" s="73"/>
      <c r="E81" s="41"/>
      <c r="F81" s="92"/>
    </row>
    <row r="82" ht="12.75" customHeight="1">
      <c r="A82" s="95"/>
      <c r="B82" s="73"/>
      <c r="C82" s="73"/>
      <c r="D82" s="73"/>
      <c r="E82" s="41"/>
      <c r="F82" s="92"/>
    </row>
    <row r="83" ht="12.75" customHeight="1">
      <c r="A83" s="95"/>
      <c r="B83" s="73"/>
      <c r="C83" s="73"/>
      <c r="D83" s="73"/>
      <c r="E83" s="41"/>
      <c r="F83" s="92"/>
    </row>
    <row r="84" ht="12.75" customHeight="1">
      <c r="A84" s="95"/>
      <c r="B84" s="73"/>
      <c r="C84" s="73"/>
      <c r="D84" s="73"/>
      <c r="E84" s="41"/>
      <c r="F84" s="92"/>
    </row>
    <row r="85" ht="12.75" customHeight="1">
      <c r="A85" s="95"/>
      <c r="B85" s="73"/>
      <c r="C85" s="73"/>
      <c r="D85" s="73"/>
      <c r="E85" s="41"/>
      <c r="F85" s="92"/>
    </row>
    <row r="86" ht="12.75" customHeight="1">
      <c r="A86" s="95"/>
      <c r="B86" s="73"/>
      <c r="C86" s="73"/>
      <c r="D86" s="73"/>
      <c r="E86" s="41"/>
      <c r="F86" s="92"/>
    </row>
    <row r="87" ht="12.75" customHeight="1">
      <c r="A87" s="95"/>
      <c r="B87" s="73"/>
      <c r="C87" s="73"/>
      <c r="D87" s="73"/>
      <c r="E87" s="41"/>
      <c r="F87" s="92"/>
    </row>
    <row r="88" ht="12.75" customHeight="1">
      <c r="A88" s="95"/>
      <c r="B88" s="73"/>
      <c r="C88" s="73"/>
      <c r="D88" s="73"/>
      <c r="E88" s="41"/>
      <c r="F88" s="92"/>
    </row>
    <row r="89" ht="12.75" customHeight="1">
      <c r="A89" s="95"/>
      <c r="B89" s="73"/>
      <c r="C89" s="73"/>
      <c r="D89" s="73"/>
      <c r="E89" s="41"/>
      <c r="F89" s="92"/>
    </row>
    <row r="90" ht="12.75" customHeight="1">
      <c r="A90" s="95"/>
      <c r="B90" s="73"/>
      <c r="C90" s="73"/>
      <c r="D90" s="73"/>
      <c r="E90" s="41"/>
      <c r="F90" s="92"/>
    </row>
    <row r="91" ht="12.75" customHeight="1">
      <c r="A91" s="95"/>
      <c r="B91" s="73"/>
      <c r="C91" s="73"/>
      <c r="D91" s="73"/>
      <c r="E91" s="41"/>
      <c r="F91" s="92"/>
    </row>
    <row r="92" ht="12.75" customHeight="1">
      <c r="A92" s="95"/>
      <c r="B92" s="73"/>
      <c r="C92" s="73"/>
      <c r="D92" s="73"/>
      <c r="E92" s="41"/>
      <c r="F92" s="92"/>
    </row>
    <row r="93" ht="12.75" customHeight="1">
      <c r="A93" s="95"/>
      <c r="B93" s="73"/>
      <c r="C93" s="73"/>
      <c r="D93" s="73"/>
      <c r="E93" s="41"/>
      <c r="F93" s="92"/>
    </row>
    <row r="94" ht="12.75" customHeight="1">
      <c r="A94" s="95"/>
      <c r="B94" s="73"/>
      <c r="C94" s="73"/>
      <c r="D94" s="73"/>
      <c r="E94" s="41"/>
      <c r="F94" s="92"/>
    </row>
    <row r="95" ht="12.75" customHeight="1">
      <c r="A95" s="95"/>
      <c r="B95" s="73"/>
      <c r="C95" s="73"/>
      <c r="D95" s="73"/>
      <c r="E95" s="41"/>
      <c r="F95" s="92"/>
    </row>
    <row r="96" ht="12.75" customHeight="1">
      <c r="A96" s="95"/>
      <c r="B96" s="73"/>
      <c r="C96" s="73"/>
      <c r="D96" s="73"/>
      <c r="E96" s="41"/>
      <c r="F96" s="92"/>
    </row>
    <row r="97" ht="12.75" customHeight="1">
      <c r="A97" s="95"/>
      <c r="B97" s="73"/>
      <c r="C97" s="73"/>
      <c r="D97" s="73"/>
      <c r="E97" s="41"/>
      <c r="F97" s="92"/>
    </row>
    <row r="98" ht="12.75" customHeight="1">
      <c r="A98" s="95"/>
      <c r="B98" s="73"/>
      <c r="C98" s="73"/>
      <c r="D98" s="73"/>
      <c r="E98" s="41"/>
      <c r="F98" s="92"/>
    </row>
    <row r="99" ht="12.75" customHeight="1">
      <c r="A99" s="95"/>
      <c r="B99" s="73"/>
      <c r="C99" s="73"/>
      <c r="D99" s="73"/>
      <c r="E99" s="41"/>
      <c r="F99" s="92"/>
    </row>
    <row r="100" ht="12.75" customHeight="1">
      <c r="A100" s="95"/>
      <c r="B100" s="73"/>
      <c r="C100" s="73"/>
      <c r="D100" s="73"/>
      <c r="E100" s="41"/>
      <c r="F100" s="92"/>
    </row>
    <row r="101" ht="12.75" customHeight="1">
      <c r="A101" s="95"/>
      <c r="B101" s="73"/>
      <c r="C101" s="73"/>
      <c r="D101" s="73"/>
      <c r="E101" s="41"/>
      <c r="F101" s="92"/>
    </row>
    <row r="102" ht="12.75" customHeight="1">
      <c r="A102" s="95"/>
      <c r="B102" s="73"/>
      <c r="C102" s="73"/>
      <c r="D102" s="73"/>
      <c r="E102" s="41"/>
      <c r="F102" s="92"/>
    </row>
    <row r="103" ht="12.75" customHeight="1">
      <c r="A103" s="95"/>
      <c r="B103" s="73"/>
      <c r="C103" s="73"/>
      <c r="D103" s="73"/>
      <c r="E103" s="41"/>
      <c r="F103" s="92"/>
    </row>
    <row r="104" ht="12.75" customHeight="1">
      <c r="A104" s="95"/>
      <c r="B104" s="73"/>
      <c r="C104" s="73"/>
      <c r="D104" s="73"/>
      <c r="E104" s="41"/>
      <c r="F104" s="92"/>
    </row>
    <row r="105" ht="12.75" customHeight="1">
      <c r="A105" s="95"/>
      <c r="B105" s="73"/>
      <c r="C105" s="73"/>
      <c r="D105" s="73"/>
      <c r="E105" s="41"/>
      <c r="F105" s="92"/>
    </row>
    <row r="106" ht="12.75" customHeight="1">
      <c r="A106" s="95"/>
      <c r="B106" s="73"/>
      <c r="C106" s="73"/>
      <c r="D106" s="73"/>
      <c r="E106" s="41"/>
      <c r="F106" s="92"/>
    </row>
    <row r="107" ht="12.75" customHeight="1">
      <c r="A107" s="95"/>
      <c r="B107" s="73"/>
      <c r="C107" s="73"/>
      <c r="D107" s="73"/>
      <c r="E107" s="41"/>
      <c r="F107" s="92"/>
    </row>
    <row r="108" ht="12.75" customHeight="1">
      <c r="A108" s="95"/>
      <c r="B108" s="73"/>
      <c r="C108" s="73"/>
      <c r="D108" s="73"/>
      <c r="E108" s="41"/>
      <c r="F108" s="92"/>
    </row>
    <row r="109" ht="12.75" customHeight="1">
      <c r="A109" s="95"/>
      <c r="B109" s="73"/>
      <c r="C109" s="73"/>
      <c r="D109" s="73"/>
      <c r="E109" s="41"/>
      <c r="F109" s="92"/>
    </row>
    <row r="110" ht="12.75" customHeight="1">
      <c r="A110" s="95"/>
      <c r="B110" s="73"/>
      <c r="C110" s="73"/>
      <c r="D110" s="73"/>
      <c r="E110" s="41"/>
      <c r="F110" s="92"/>
    </row>
    <row r="111" ht="12.75" customHeight="1">
      <c r="A111" s="95"/>
      <c r="B111" s="73"/>
      <c r="C111" s="73"/>
      <c r="D111" s="73"/>
      <c r="E111" s="41"/>
      <c r="F111" s="92"/>
    </row>
    <row r="112" ht="12.75" customHeight="1">
      <c r="A112" s="95"/>
      <c r="B112" s="73"/>
      <c r="C112" s="73"/>
      <c r="D112" s="73"/>
      <c r="E112" s="41"/>
      <c r="F112" s="92"/>
    </row>
    <row r="113" ht="12.75" customHeight="1">
      <c r="A113" s="95"/>
      <c r="B113" s="73"/>
      <c r="C113" s="73"/>
      <c r="D113" s="73"/>
      <c r="E113" s="41"/>
      <c r="F113" s="92"/>
    </row>
    <row r="114" ht="12.75" customHeight="1">
      <c r="A114" s="95"/>
      <c r="B114" s="73"/>
      <c r="C114" s="73"/>
      <c r="D114" s="73"/>
      <c r="E114" s="41"/>
      <c r="F114" s="92"/>
    </row>
    <row r="115" ht="12.75" customHeight="1">
      <c r="A115" s="95"/>
      <c r="B115" s="73"/>
      <c r="C115" s="73"/>
      <c r="D115" s="73"/>
      <c r="E115" s="41"/>
      <c r="F115" s="92"/>
    </row>
    <row r="116" ht="12.75" customHeight="1">
      <c r="A116" s="95"/>
      <c r="B116" s="73"/>
      <c r="C116" s="73"/>
      <c r="D116" s="73"/>
      <c r="E116" s="41"/>
      <c r="F116" s="92"/>
    </row>
    <row r="117" ht="12.75" customHeight="1">
      <c r="A117" s="95"/>
      <c r="B117" s="73"/>
      <c r="C117" s="73"/>
      <c r="D117" s="73"/>
      <c r="E117" s="41"/>
      <c r="F117" s="92"/>
    </row>
    <row r="118" ht="12.75" customHeight="1">
      <c r="A118" s="95"/>
      <c r="B118" s="73"/>
      <c r="C118" s="73"/>
      <c r="D118" s="73"/>
      <c r="E118" s="41"/>
      <c r="F118" s="92"/>
    </row>
    <row r="119" ht="12.75" customHeight="1">
      <c r="A119" s="95"/>
      <c r="B119" s="73"/>
      <c r="C119" s="73"/>
      <c r="D119" s="73"/>
      <c r="E119" s="41"/>
      <c r="F119" s="92"/>
    </row>
    <row r="120" ht="12.75" customHeight="1">
      <c r="A120" s="95"/>
      <c r="B120" s="73"/>
      <c r="C120" s="73"/>
      <c r="D120" s="73"/>
      <c r="E120" s="41"/>
      <c r="F120" s="92"/>
    </row>
    <row r="121" ht="12.75" customHeight="1">
      <c r="A121" s="95"/>
      <c r="B121" s="73"/>
      <c r="C121" s="73"/>
      <c r="D121" s="73"/>
      <c r="E121" s="41"/>
      <c r="F121" s="92"/>
    </row>
    <row r="122" ht="12.75" customHeight="1">
      <c r="A122" s="95"/>
      <c r="B122" s="73"/>
      <c r="C122" s="73"/>
      <c r="D122" s="73"/>
      <c r="E122" s="41"/>
      <c r="F122" s="92"/>
    </row>
    <row r="123" ht="12.75" customHeight="1">
      <c r="A123" s="95"/>
      <c r="B123" s="73"/>
      <c r="C123" s="73"/>
      <c r="D123" s="73"/>
      <c r="E123" s="41"/>
      <c r="F123" s="92"/>
    </row>
    <row r="124" ht="12.75" customHeight="1">
      <c r="A124" s="95"/>
      <c r="B124" s="73"/>
      <c r="C124" s="73"/>
      <c r="D124" s="73"/>
      <c r="E124" s="41"/>
      <c r="F124" s="92"/>
    </row>
    <row r="125" ht="12.75" customHeight="1">
      <c r="A125" s="95"/>
      <c r="B125" s="73"/>
      <c r="C125" s="73"/>
      <c r="D125" s="73"/>
      <c r="E125" s="41"/>
      <c r="F125" s="92"/>
    </row>
    <row r="126" ht="12.75" customHeight="1">
      <c r="A126" s="95"/>
      <c r="B126" s="73"/>
      <c r="C126" s="73"/>
      <c r="D126" s="73"/>
      <c r="E126" s="41"/>
      <c r="F126" s="92"/>
    </row>
    <row r="127" ht="12.75" customHeight="1">
      <c r="A127" s="95"/>
      <c r="B127" s="73"/>
      <c r="C127" s="73"/>
      <c r="D127" s="73"/>
      <c r="E127" s="41"/>
      <c r="F127" s="92"/>
    </row>
    <row r="128" ht="12.75" customHeight="1">
      <c r="A128" s="95"/>
      <c r="B128" s="73"/>
      <c r="C128" s="73"/>
      <c r="D128" s="73"/>
      <c r="E128" s="41"/>
      <c r="F128" s="92"/>
    </row>
    <row r="129" ht="12.75" customHeight="1">
      <c r="A129" s="95"/>
      <c r="B129" s="73"/>
      <c r="C129" s="73"/>
      <c r="D129" s="73"/>
      <c r="E129" s="41"/>
      <c r="F129" s="92"/>
    </row>
    <row r="130" ht="12.75" customHeight="1">
      <c r="A130" s="95"/>
      <c r="B130" s="73"/>
      <c r="C130" s="73"/>
      <c r="D130" s="73"/>
      <c r="E130" s="41"/>
      <c r="F130" s="92"/>
    </row>
    <row r="131" ht="12.75" customHeight="1">
      <c r="A131" s="95"/>
      <c r="B131" s="73"/>
      <c r="C131" s="73"/>
      <c r="D131" s="73"/>
      <c r="E131" s="41"/>
      <c r="F131" s="92"/>
    </row>
    <row r="132" ht="12.75" customHeight="1">
      <c r="A132" s="95"/>
      <c r="B132" s="73"/>
      <c r="C132" s="73"/>
      <c r="D132" s="73"/>
      <c r="E132" s="41"/>
      <c r="F132" s="92"/>
    </row>
    <row r="133" ht="12.75" customHeight="1">
      <c r="A133" s="95"/>
      <c r="B133" s="73"/>
      <c r="C133" s="73"/>
      <c r="D133" s="73"/>
      <c r="E133" s="41"/>
      <c r="F133" s="92"/>
    </row>
    <row r="134" ht="12.75" customHeight="1">
      <c r="A134" s="95"/>
      <c r="B134" s="73"/>
      <c r="C134" s="73"/>
      <c r="D134" s="73"/>
      <c r="E134" s="41"/>
      <c r="F134" s="92"/>
    </row>
    <row r="135" ht="12.75" customHeight="1">
      <c r="A135" s="95"/>
      <c r="B135" s="73"/>
      <c r="C135" s="73"/>
      <c r="D135" s="73"/>
      <c r="E135" s="41"/>
      <c r="F135" s="92"/>
    </row>
    <row r="136" ht="12.75" customHeight="1">
      <c r="A136" s="95"/>
      <c r="B136" s="73"/>
      <c r="C136" s="73"/>
      <c r="D136" s="73"/>
      <c r="E136" s="41"/>
      <c r="F136" s="92"/>
    </row>
    <row r="137" ht="12.75" customHeight="1">
      <c r="A137" s="95"/>
      <c r="B137" s="73"/>
      <c r="C137" s="73"/>
      <c r="D137" s="73"/>
      <c r="E137" s="41"/>
      <c r="F137" s="92"/>
    </row>
    <row r="138" ht="12.75" customHeight="1">
      <c r="A138" s="95"/>
      <c r="B138" s="73"/>
      <c r="C138" s="73"/>
      <c r="D138" s="73"/>
      <c r="E138" s="41"/>
      <c r="F138" s="92"/>
    </row>
    <row r="139" ht="12.75" customHeight="1">
      <c r="A139" s="95"/>
      <c r="B139" s="73"/>
      <c r="C139" s="73"/>
      <c r="D139" s="73"/>
      <c r="E139" s="41"/>
      <c r="F139" s="92"/>
    </row>
    <row r="140" ht="12.75" customHeight="1">
      <c r="A140" s="95"/>
      <c r="B140" s="73"/>
      <c r="C140" s="73"/>
      <c r="D140" s="73"/>
      <c r="E140" s="41"/>
      <c r="F140" s="92"/>
    </row>
    <row r="141" ht="12.75" customHeight="1">
      <c r="A141" s="95"/>
      <c r="B141" s="73"/>
      <c r="C141" s="73"/>
      <c r="D141" s="73"/>
      <c r="E141" s="41"/>
      <c r="F141" s="92"/>
    </row>
    <row r="142" ht="12.75" customHeight="1">
      <c r="A142" s="95"/>
      <c r="B142" s="73"/>
      <c r="C142" s="73"/>
      <c r="D142" s="73"/>
      <c r="E142" s="41"/>
      <c r="F142" s="92"/>
    </row>
    <row r="143" ht="12.75" customHeight="1">
      <c r="A143" s="95"/>
      <c r="B143" s="73"/>
      <c r="C143" s="73"/>
      <c r="D143" s="73"/>
      <c r="E143" s="41"/>
      <c r="F143" s="92"/>
    </row>
    <row r="144" ht="12.75" customHeight="1">
      <c r="A144" s="95"/>
      <c r="B144" s="73"/>
      <c r="C144" s="73"/>
      <c r="D144" s="73"/>
      <c r="E144" s="41"/>
      <c r="F144" s="92"/>
    </row>
    <row r="145" ht="12.75" customHeight="1">
      <c r="A145" s="95"/>
      <c r="B145" s="73"/>
      <c r="C145" s="73"/>
      <c r="D145" s="73"/>
      <c r="E145" s="41"/>
      <c r="F145" s="92"/>
    </row>
    <row r="146" ht="12.75" customHeight="1">
      <c r="A146" s="95"/>
      <c r="B146" s="73"/>
      <c r="C146" s="73"/>
      <c r="D146" s="73"/>
      <c r="E146" s="41"/>
      <c r="F146" s="92"/>
    </row>
    <row r="147" ht="12.75" customHeight="1">
      <c r="A147" s="95"/>
      <c r="B147" s="73"/>
      <c r="C147" s="73"/>
      <c r="D147" s="73"/>
      <c r="E147" s="41"/>
      <c r="F147" s="92"/>
    </row>
    <row r="148" ht="12.75" customHeight="1">
      <c r="A148" s="95"/>
      <c r="B148" s="73"/>
      <c r="C148" s="73"/>
      <c r="D148" s="73"/>
      <c r="E148" s="41"/>
      <c r="F148" s="92"/>
    </row>
    <row r="149" ht="12.75" customHeight="1">
      <c r="A149" s="95"/>
      <c r="B149" s="73"/>
      <c r="C149" s="73"/>
      <c r="D149" s="73"/>
      <c r="E149" s="41"/>
      <c r="F149" s="92"/>
    </row>
    <row r="150" ht="12.75" customHeight="1">
      <c r="A150" s="95"/>
      <c r="B150" s="73"/>
      <c r="C150" s="73"/>
      <c r="D150" s="73"/>
      <c r="E150" s="41"/>
      <c r="F150" s="92"/>
    </row>
    <row r="151" ht="12.75" customHeight="1">
      <c r="A151" s="95"/>
      <c r="B151" s="73"/>
      <c r="C151" s="73"/>
      <c r="D151" s="73"/>
      <c r="E151" s="41"/>
      <c r="F151" s="92"/>
    </row>
    <row r="152" ht="12.75" customHeight="1">
      <c r="A152" s="95"/>
      <c r="B152" s="73"/>
      <c r="C152" s="73"/>
      <c r="D152" s="73"/>
      <c r="E152" s="41"/>
      <c r="F152" s="92"/>
    </row>
    <row r="153" ht="12.75" customHeight="1">
      <c r="A153" s="95"/>
      <c r="B153" s="73"/>
      <c r="C153" s="73"/>
      <c r="D153" s="73"/>
      <c r="E153" s="41"/>
      <c r="F153" s="92"/>
    </row>
    <row r="154" ht="12.75" customHeight="1">
      <c r="A154" s="95"/>
      <c r="B154" s="73"/>
      <c r="C154" s="73"/>
      <c r="D154" s="73"/>
      <c r="E154" s="41"/>
      <c r="F154" s="92"/>
    </row>
    <row r="155" ht="12.75" customHeight="1">
      <c r="A155" s="95"/>
      <c r="B155" s="73"/>
      <c r="C155" s="73"/>
      <c r="D155" s="73"/>
      <c r="E155" s="41"/>
      <c r="F155" s="92"/>
    </row>
    <row r="156" ht="12.75" customHeight="1">
      <c r="A156" s="95"/>
      <c r="B156" s="73"/>
      <c r="C156" s="73"/>
      <c r="D156" s="73"/>
      <c r="E156" s="41"/>
      <c r="F156" s="92"/>
    </row>
    <row r="157" ht="12.75" customHeight="1">
      <c r="A157" s="95"/>
      <c r="B157" s="73"/>
      <c r="C157" s="73"/>
      <c r="D157" s="73"/>
      <c r="E157" s="41"/>
      <c r="F157" s="92"/>
    </row>
    <row r="158" ht="12.75" customHeight="1">
      <c r="A158" s="95"/>
      <c r="B158" s="73"/>
      <c r="C158" s="73"/>
      <c r="D158" s="73"/>
      <c r="E158" s="41"/>
      <c r="F158" s="92"/>
    </row>
    <row r="159" ht="12.75" customHeight="1">
      <c r="A159" s="95"/>
      <c r="B159" s="73"/>
      <c r="C159" s="73"/>
      <c r="D159" s="73"/>
      <c r="E159" s="41"/>
      <c r="F159" s="92"/>
    </row>
    <row r="160" ht="12.75" customHeight="1">
      <c r="A160" s="95"/>
      <c r="B160" s="73"/>
      <c r="C160" s="73"/>
      <c r="D160" s="73"/>
      <c r="E160" s="41"/>
      <c r="F160" s="92"/>
    </row>
    <row r="161" ht="12.75" customHeight="1">
      <c r="A161" s="95"/>
      <c r="B161" s="73"/>
      <c r="C161" s="73"/>
      <c r="D161" s="73"/>
      <c r="E161" s="41"/>
      <c r="F161" s="92"/>
    </row>
    <row r="162" ht="12.75" customHeight="1">
      <c r="A162" s="95"/>
      <c r="B162" s="73"/>
      <c r="C162" s="73"/>
      <c r="D162" s="73"/>
      <c r="E162" s="41"/>
      <c r="F162" s="92"/>
    </row>
    <row r="163" ht="12.75" customHeight="1">
      <c r="A163" s="95"/>
      <c r="B163" s="73"/>
      <c r="C163" s="73"/>
      <c r="D163" s="73"/>
      <c r="E163" s="41"/>
      <c r="F163" s="92"/>
    </row>
    <row r="164" ht="12.75" customHeight="1">
      <c r="A164" s="95"/>
      <c r="B164" s="73"/>
      <c r="C164" s="73"/>
      <c r="D164" s="73"/>
      <c r="E164" s="41"/>
      <c r="F164" s="92"/>
    </row>
    <row r="165" ht="12.75" customHeight="1">
      <c r="A165" s="95"/>
      <c r="B165" s="73"/>
      <c r="C165" s="73"/>
      <c r="D165" s="73"/>
      <c r="E165" s="41"/>
      <c r="F165" s="92"/>
    </row>
    <row r="166" ht="12.75" customHeight="1">
      <c r="A166" s="95"/>
      <c r="B166" s="73"/>
      <c r="C166" s="73"/>
      <c r="D166" s="73"/>
      <c r="E166" s="41"/>
      <c r="F166" s="92"/>
    </row>
    <row r="167" ht="12.75" customHeight="1">
      <c r="A167" s="95"/>
      <c r="B167" s="73"/>
      <c r="C167" s="73"/>
      <c r="D167" s="73"/>
      <c r="E167" s="41"/>
      <c r="F167" s="92"/>
    </row>
    <row r="168" ht="12.75" customHeight="1">
      <c r="A168" s="95"/>
      <c r="B168" s="73"/>
      <c r="C168" s="73"/>
      <c r="D168" s="73"/>
      <c r="E168" s="41"/>
      <c r="F168" s="92"/>
    </row>
    <row r="169" ht="12.75" customHeight="1">
      <c r="A169" s="95"/>
      <c r="B169" s="73"/>
      <c r="C169" s="73"/>
      <c r="D169" s="73"/>
      <c r="E169" s="41"/>
      <c r="F169" s="92"/>
    </row>
    <row r="170" ht="12.75" customHeight="1">
      <c r="A170" s="95"/>
      <c r="B170" s="73"/>
      <c r="C170" s="73"/>
      <c r="D170" s="73"/>
      <c r="E170" s="41"/>
      <c r="F170" s="92"/>
    </row>
    <row r="171" ht="12.75" customHeight="1">
      <c r="A171" s="95"/>
      <c r="B171" s="73"/>
      <c r="C171" s="73"/>
      <c r="D171" s="73"/>
      <c r="E171" s="41"/>
      <c r="F171" s="92"/>
    </row>
    <row r="172" ht="12.75" customHeight="1">
      <c r="A172" s="95"/>
      <c r="B172" s="73"/>
      <c r="C172" s="73"/>
      <c r="D172" s="73"/>
      <c r="E172" s="41"/>
      <c r="F172" s="92"/>
    </row>
    <row r="173" ht="12.75" customHeight="1">
      <c r="A173" s="95"/>
      <c r="B173" s="73"/>
      <c r="C173" s="73"/>
      <c r="D173" s="73"/>
      <c r="E173" s="41"/>
      <c r="F173" s="92"/>
    </row>
    <row r="174" ht="12.75" customHeight="1">
      <c r="A174" s="95"/>
      <c r="B174" s="73"/>
      <c r="C174" s="73"/>
      <c r="D174" s="73"/>
      <c r="E174" s="41"/>
      <c r="F174" s="92"/>
    </row>
    <row r="175" ht="12.75" customHeight="1">
      <c r="A175" s="95"/>
      <c r="B175" s="73"/>
      <c r="C175" s="73"/>
      <c r="D175" s="73"/>
      <c r="E175" s="41"/>
      <c r="F175" s="92"/>
    </row>
    <row r="176" ht="12.75" customHeight="1">
      <c r="A176" s="95"/>
      <c r="B176" s="73"/>
      <c r="C176" s="73"/>
      <c r="D176" s="73"/>
      <c r="E176" s="41"/>
      <c r="F176" s="92"/>
    </row>
    <row r="177" ht="12.75" customHeight="1">
      <c r="A177" s="95"/>
      <c r="B177" s="73"/>
      <c r="C177" s="73"/>
      <c r="D177" s="73"/>
      <c r="E177" s="41"/>
      <c r="F177" s="92"/>
    </row>
    <row r="178" ht="12.75" customHeight="1">
      <c r="A178" s="95"/>
      <c r="B178" s="73"/>
      <c r="C178" s="73"/>
      <c r="D178" s="73"/>
      <c r="E178" s="41"/>
      <c r="F178" s="92"/>
    </row>
    <row r="179" ht="12.75" customHeight="1">
      <c r="A179" s="95"/>
      <c r="B179" s="73"/>
      <c r="C179" s="73"/>
      <c r="D179" s="73"/>
      <c r="E179" s="41"/>
      <c r="F179" s="92"/>
    </row>
    <row r="180" ht="12.75" customHeight="1">
      <c r="A180" s="95"/>
      <c r="B180" s="73"/>
      <c r="C180" s="73"/>
      <c r="D180" s="73"/>
      <c r="E180" s="41"/>
      <c r="F180" s="92"/>
    </row>
    <row r="181" ht="12.75" customHeight="1">
      <c r="A181" s="95"/>
      <c r="B181" s="73"/>
      <c r="C181" s="73"/>
      <c r="D181" s="73"/>
      <c r="E181" s="41"/>
      <c r="F181" s="92"/>
    </row>
    <row r="182" ht="12.75" customHeight="1">
      <c r="A182" s="95"/>
      <c r="B182" s="73"/>
      <c r="C182" s="73"/>
      <c r="D182" s="73"/>
      <c r="E182" s="41"/>
      <c r="F182" s="92"/>
    </row>
    <row r="183" ht="12.75" customHeight="1">
      <c r="A183" s="95"/>
      <c r="B183" s="73"/>
      <c r="C183" s="73"/>
      <c r="D183" s="73"/>
      <c r="E183" s="41"/>
      <c r="F183" s="92"/>
    </row>
    <row r="184" ht="12.75" customHeight="1">
      <c r="A184" s="95"/>
      <c r="B184" s="73"/>
      <c r="C184" s="73"/>
      <c r="D184" s="73"/>
      <c r="E184" s="41"/>
      <c r="F184" s="92"/>
    </row>
    <row r="185" ht="12.75" customHeight="1">
      <c r="A185" s="95"/>
      <c r="B185" s="73"/>
      <c r="C185" s="73"/>
      <c r="D185" s="73"/>
      <c r="E185" s="41"/>
      <c r="F185" s="92"/>
    </row>
    <row r="186" ht="12.75" customHeight="1">
      <c r="A186" s="95"/>
      <c r="B186" s="73"/>
      <c r="C186" s="73"/>
      <c r="D186" s="73"/>
      <c r="E186" s="41"/>
      <c r="F186" s="92"/>
    </row>
    <row r="187" ht="12.75" customHeight="1">
      <c r="A187" s="95"/>
      <c r="B187" s="73"/>
      <c r="C187" s="73"/>
      <c r="D187" s="73"/>
      <c r="E187" s="41"/>
      <c r="F187" s="92"/>
    </row>
    <row r="188" ht="12.75" customHeight="1">
      <c r="A188" s="95"/>
      <c r="B188" s="73"/>
      <c r="C188" s="73"/>
      <c r="D188" s="73"/>
      <c r="E188" s="41"/>
      <c r="F188" s="92"/>
    </row>
    <row r="189" ht="12.75" customHeight="1">
      <c r="A189" s="95"/>
      <c r="B189" s="73"/>
      <c r="C189" s="73"/>
      <c r="D189" s="73"/>
      <c r="E189" s="41"/>
      <c r="F189" s="92"/>
    </row>
    <row r="190" ht="12.75" customHeight="1">
      <c r="A190" s="95"/>
      <c r="B190" s="73"/>
      <c r="C190" s="73"/>
      <c r="D190" s="73"/>
      <c r="E190" s="41"/>
      <c r="F190" s="92"/>
    </row>
    <row r="191" ht="12.75" customHeight="1">
      <c r="A191" s="95"/>
      <c r="B191" s="73"/>
      <c r="C191" s="73"/>
      <c r="D191" s="73"/>
      <c r="E191" s="41"/>
      <c r="F191" s="92"/>
    </row>
    <row r="192" ht="12.75" customHeight="1">
      <c r="A192" s="95"/>
      <c r="B192" s="73"/>
      <c r="C192" s="73"/>
      <c r="D192" s="73"/>
      <c r="E192" s="41"/>
      <c r="F192" s="92"/>
    </row>
    <row r="193" ht="12.75" customHeight="1">
      <c r="A193" s="95"/>
      <c r="B193" s="73"/>
      <c r="C193" s="73"/>
      <c r="D193" s="73"/>
      <c r="E193" s="41"/>
      <c r="F193" s="92"/>
    </row>
    <row r="194" ht="12.75" customHeight="1">
      <c r="A194" s="95"/>
      <c r="B194" s="73"/>
      <c r="C194" s="73"/>
      <c r="D194" s="73"/>
      <c r="E194" s="41"/>
      <c r="F194" s="92"/>
    </row>
    <row r="195" ht="12.75" customHeight="1">
      <c r="A195" s="95"/>
      <c r="B195" s="73"/>
      <c r="C195" s="73"/>
      <c r="D195" s="73"/>
      <c r="E195" s="41"/>
      <c r="F195" s="92"/>
    </row>
    <row r="196" ht="12.75" customHeight="1">
      <c r="A196" s="95"/>
      <c r="B196" s="73"/>
      <c r="C196" s="73"/>
      <c r="D196" s="73"/>
      <c r="E196" s="41"/>
      <c r="F196" s="92"/>
    </row>
    <row r="197" ht="12.75" customHeight="1">
      <c r="A197" s="95"/>
      <c r="B197" s="73"/>
      <c r="C197" s="73"/>
      <c r="D197" s="73"/>
      <c r="E197" s="41"/>
      <c r="F197" s="92"/>
    </row>
    <row r="198" ht="12.75" customHeight="1">
      <c r="A198" s="95"/>
      <c r="B198" s="73"/>
      <c r="C198" s="73"/>
      <c r="D198" s="73"/>
      <c r="E198" s="41"/>
      <c r="F198" s="92"/>
    </row>
    <row r="199" ht="12.75" customHeight="1">
      <c r="A199" s="95"/>
      <c r="B199" s="73"/>
      <c r="C199" s="73"/>
      <c r="D199" s="73"/>
      <c r="E199" s="41"/>
      <c r="F199" s="92"/>
    </row>
    <row r="200" ht="12.75" customHeight="1">
      <c r="A200" s="95"/>
      <c r="B200" s="73"/>
      <c r="C200" s="73"/>
      <c r="D200" s="73"/>
      <c r="E200" s="41"/>
      <c r="F200" s="92"/>
    </row>
    <row r="201" ht="12.75" customHeight="1">
      <c r="A201" s="95"/>
      <c r="B201" s="73"/>
      <c r="C201" s="73"/>
      <c r="D201" s="73"/>
      <c r="E201" s="41"/>
      <c r="F201" s="92"/>
    </row>
    <row r="202" ht="12.75" customHeight="1">
      <c r="A202" s="95"/>
      <c r="B202" s="73"/>
      <c r="C202" s="73"/>
      <c r="D202" s="73"/>
      <c r="E202" s="41"/>
      <c r="F202" s="92"/>
    </row>
    <row r="203" ht="12.75" customHeight="1">
      <c r="A203" s="95"/>
      <c r="B203" s="73"/>
      <c r="C203" s="73"/>
      <c r="D203" s="73"/>
      <c r="E203" s="41"/>
      <c r="F203" s="92"/>
    </row>
    <row r="204" ht="12.75" customHeight="1">
      <c r="A204" s="95"/>
      <c r="B204" s="73"/>
      <c r="C204" s="73"/>
      <c r="D204" s="73"/>
      <c r="E204" s="41"/>
      <c r="F204" s="92"/>
    </row>
    <row r="205" ht="12.75" customHeight="1">
      <c r="A205" s="95"/>
      <c r="B205" s="73"/>
      <c r="C205" s="73"/>
      <c r="D205" s="73"/>
      <c r="E205" s="41"/>
      <c r="F205" s="92"/>
    </row>
    <row r="206" ht="12.75" customHeight="1">
      <c r="A206" s="95"/>
      <c r="B206" s="73"/>
      <c r="C206" s="73"/>
      <c r="D206" s="73"/>
      <c r="E206" s="41"/>
      <c r="F206" s="92"/>
    </row>
    <row r="207" ht="12.75" customHeight="1">
      <c r="A207" s="95"/>
      <c r="B207" s="73"/>
      <c r="C207" s="73"/>
      <c r="D207" s="73"/>
      <c r="E207" s="41"/>
      <c r="F207" s="92"/>
    </row>
    <row r="208" ht="12.75" customHeight="1">
      <c r="A208" s="95"/>
      <c r="B208" s="73"/>
      <c r="C208" s="73"/>
      <c r="D208" s="73"/>
      <c r="E208" s="41"/>
      <c r="F208" s="92"/>
    </row>
    <row r="209" ht="12.75" customHeight="1">
      <c r="A209" s="95"/>
      <c r="B209" s="73"/>
      <c r="C209" s="73"/>
      <c r="D209" s="73"/>
      <c r="E209" s="41"/>
      <c r="F209" s="92"/>
    </row>
    <row r="210" ht="12.75" customHeight="1">
      <c r="A210" s="95"/>
      <c r="B210" s="73"/>
      <c r="C210" s="73"/>
      <c r="D210" s="73"/>
      <c r="E210" s="41"/>
      <c r="F210" s="92"/>
    </row>
    <row r="211" ht="12.75" customHeight="1">
      <c r="A211" s="95"/>
      <c r="B211" s="73"/>
      <c r="C211" s="73"/>
      <c r="D211" s="73"/>
      <c r="E211" s="41"/>
      <c r="F211" s="92"/>
    </row>
    <row r="212" ht="12.75" customHeight="1">
      <c r="A212" s="95"/>
      <c r="B212" s="73"/>
      <c r="C212" s="73"/>
      <c r="D212" s="73"/>
      <c r="E212" s="41"/>
      <c r="F212" s="92"/>
    </row>
    <row r="213" ht="12.75" customHeight="1">
      <c r="A213" s="95"/>
      <c r="B213" s="73"/>
      <c r="C213" s="73"/>
      <c r="D213" s="73"/>
      <c r="E213" s="41"/>
      <c r="F213" s="92"/>
    </row>
    <row r="214" ht="12.75" customHeight="1">
      <c r="A214" s="95"/>
      <c r="B214" s="73"/>
      <c r="C214" s="73"/>
      <c r="D214" s="73"/>
      <c r="E214" s="41"/>
      <c r="F214" s="92"/>
    </row>
    <row r="215" ht="12.75" customHeight="1">
      <c r="A215" s="95"/>
      <c r="B215" s="73"/>
      <c r="C215" s="73"/>
      <c r="D215" s="73"/>
      <c r="E215" s="41"/>
      <c r="F215" s="92"/>
    </row>
    <row r="216" ht="12.75" customHeight="1">
      <c r="A216" s="95"/>
      <c r="B216" s="73"/>
      <c r="C216" s="73"/>
      <c r="D216" s="73"/>
      <c r="E216" s="41"/>
      <c r="F216" s="92"/>
    </row>
    <row r="217" ht="12.75" customHeight="1">
      <c r="A217" s="95"/>
      <c r="B217" s="73"/>
      <c r="C217" s="73"/>
      <c r="D217" s="73"/>
      <c r="E217" s="41"/>
      <c r="F217" s="92"/>
    </row>
    <row r="218" ht="12.75" customHeight="1">
      <c r="A218" s="95"/>
      <c r="B218" s="73"/>
      <c r="C218" s="73"/>
      <c r="D218" s="73"/>
      <c r="E218" s="41"/>
      <c r="F218" s="92"/>
    </row>
    <row r="219" ht="12.75" customHeight="1">
      <c r="A219" s="95"/>
      <c r="B219" s="73"/>
      <c r="C219" s="73"/>
      <c r="D219" s="73"/>
      <c r="E219" s="41"/>
      <c r="F219" s="92"/>
    </row>
    <row r="220" ht="12.75" customHeight="1">
      <c r="A220" s="95"/>
      <c r="B220" s="73"/>
      <c r="C220" s="73"/>
      <c r="D220" s="73"/>
      <c r="E220" s="41"/>
      <c r="F220" s="92"/>
    </row>
    <row r="221" ht="12.75" customHeight="1">
      <c r="A221" s="100"/>
      <c r="B221" s="93"/>
      <c r="C221" s="93"/>
      <c r="D221" s="100"/>
      <c r="E221" s="41"/>
      <c r="F221" s="100"/>
    </row>
    <row r="222" ht="12.75" customHeight="1">
      <c r="A222" s="100"/>
      <c r="B222" s="93"/>
      <c r="C222" s="93"/>
      <c r="D222" s="100"/>
      <c r="E222" s="41"/>
      <c r="F222" s="100"/>
    </row>
    <row r="223" ht="12.75" customHeight="1">
      <c r="A223" s="100"/>
      <c r="B223" s="93"/>
      <c r="C223" s="93"/>
      <c r="D223" s="100"/>
      <c r="E223" s="41"/>
      <c r="F223" s="100"/>
    </row>
    <row r="224" ht="12.75" customHeight="1">
      <c r="A224" s="100"/>
      <c r="B224" s="93"/>
      <c r="C224" s="93"/>
      <c r="D224" s="100"/>
      <c r="E224" s="41"/>
      <c r="F224" s="100"/>
    </row>
    <row r="225" ht="12.75" customHeight="1">
      <c r="A225" s="100"/>
      <c r="B225" s="93"/>
      <c r="C225" s="93"/>
      <c r="D225" s="100"/>
      <c r="E225" s="41"/>
      <c r="F225" s="100"/>
    </row>
    <row r="226" ht="12.75" customHeight="1">
      <c r="A226" s="100"/>
      <c r="B226" s="93"/>
      <c r="C226" s="93"/>
      <c r="D226" s="100"/>
      <c r="E226" s="41"/>
      <c r="F226" s="100"/>
    </row>
    <row r="227" ht="12.75" customHeight="1">
      <c r="A227" s="100"/>
      <c r="B227" s="93"/>
      <c r="C227" s="93"/>
      <c r="D227" s="100"/>
      <c r="E227" s="41"/>
      <c r="F227" s="100"/>
    </row>
    <row r="228" ht="12.75" customHeight="1">
      <c r="A228" s="100"/>
      <c r="B228" s="93"/>
      <c r="C228" s="93"/>
      <c r="D228" s="100"/>
      <c r="E228" s="41"/>
      <c r="F228" s="100"/>
    </row>
    <row r="229" ht="12.75" customHeight="1">
      <c r="A229" s="100"/>
      <c r="B229" s="93"/>
      <c r="C229" s="93"/>
      <c r="D229" s="100"/>
      <c r="E229" s="41"/>
      <c r="F229" s="100"/>
    </row>
    <row r="230" ht="12.75" customHeight="1">
      <c r="A230" s="100"/>
      <c r="B230" s="93"/>
      <c r="C230" s="93"/>
      <c r="D230" s="100"/>
      <c r="E230" s="41"/>
      <c r="F230" s="100"/>
    </row>
    <row r="231" ht="12.75" customHeight="1">
      <c r="A231" s="100"/>
      <c r="B231" s="93"/>
      <c r="C231" s="93"/>
      <c r="D231" s="100"/>
      <c r="E231" s="41"/>
      <c r="F231" s="100"/>
    </row>
    <row r="232" ht="12.75" customHeight="1">
      <c r="A232" s="100"/>
      <c r="B232" s="93"/>
      <c r="C232" s="93"/>
      <c r="D232" s="100"/>
      <c r="E232" s="41"/>
      <c r="F232" s="100"/>
    </row>
    <row r="233" ht="12.75" customHeight="1">
      <c r="A233" s="100"/>
      <c r="B233" s="93"/>
      <c r="C233" s="93"/>
      <c r="D233" s="100"/>
      <c r="E233" s="41"/>
      <c r="F233" s="100"/>
    </row>
    <row r="234" ht="12.75" customHeight="1">
      <c r="A234" s="100"/>
      <c r="B234" s="93"/>
      <c r="C234" s="93"/>
      <c r="D234" s="100"/>
      <c r="E234" s="41"/>
      <c r="F234" s="100"/>
    </row>
    <row r="235" ht="12.75" customHeight="1">
      <c r="A235" s="100"/>
      <c r="B235" s="93"/>
      <c r="C235" s="93"/>
      <c r="D235" s="100"/>
      <c r="E235" s="41"/>
      <c r="F235" s="100"/>
    </row>
    <row r="236" ht="12.75" customHeight="1">
      <c r="A236" s="100"/>
      <c r="B236" s="93"/>
      <c r="C236" s="93"/>
      <c r="D236" s="100"/>
      <c r="E236" s="41"/>
      <c r="F236" s="100"/>
    </row>
    <row r="237" ht="12.75" customHeight="1">
      <c r="A237" s="100"/>
      <c r="B237" s="93"/>
      <c r="C237" s="93"/>
      <c r="D237" s="100"/>
      <c r="E237" s="41"/>
      <c r="F237" s="100"/>
    </row>
    <row r="238" ht="12.75" customHeight="1">
      <c r="A238" s="100"/>
      <c r="B238" s="93"/>
      <c r="C238" s="93"/>
      <c r="D238" s="100"/>
      <c r="E238" s="41"/>
      <c r="F238" s="100"/>
    </row>
    <row r="239" ht="12.75" customHeight="1">
      <c r="A239" s="100"/>
      <c r="B239" s="93"/>
      <c r="C239" s="93"/>
      <c r="D239" s="100"/>
      <c r="E239" s="41"/>
      <c r="F239" s="100"/>
    </row>
    <row r="240" ht="12.75" customHeight="1">
      <c r="A240" s="100"/>
      <c r="B240" s="93"/>
      <c r="C240" s="93"/>
      <c r="D240" s="100"/>
      <c r="E240" s="41"/>
      <c r="F240" s="100"/>
    </row>
    <row r="241" ht="12.75" customHeight="1">
      <c r="A241" s="100"/>
      <c r="B241" s="93"/>
      <c r="C241" s="93"/>
      <c r="D241" s="100"/>
      <c r="E241" s="41"/>
      <c r="F241" s="100"/>
    </row>
    <row r="242" ht="12.75" customHeight="1">
      <c r="A242" s="100"/>
      <c r="B242" s="93"/>
      <c r="C242" s="93"/>
      <c r="D242" s="100"/>
      <c r="E242" s="41"/>
      <c r="F242" s="100"/>
    </row>
    <row r="243" ht="12.75" customHeight="1">
      <c r="A243" s="100"/>
      <c r="B243" s="93"/>
      <c r="C243" s="93"/>
      <c r="D243" s="100"/>
      <c r="E243" s="41"/>
      <c r="F243" s="100"/>
    </row>
    <row r="244" ht="12.75" customHeight="1">
      <c r="A244" s="100"/>
      <c r="B244" s="93"/>
      <c r="C244" s="93"/>
      <c r="D244" s="100"/>
      <c r="E244" s="41"/>
      <c r="F244" s="100"/>
    </row>
    <row r="245" ht="12.75" customHeight="1">
      <c r="A245" s="100"/>
      <c r="B245" s="93"/>
      <c r="C245" s="93"/>
      <c r="D245" s="100"/>
      <c r="E245" s="41"/>
      <c r="F245" s="100"/>
    </row>
    <row r="246" ht="12.75" customHeight="1">
      <c r="A246" s="100"/>
      <c r="B246" s="93"/>
      <c r="C246" s="93"/>
      <c r="D246" s="100"/>
      <c r="E246" s="41"/>
      <c r="F246" s="100"/>
    </row>
    <row r="247" ht="12.75" customHeight="1">
      <c r="A247" s="100"/>
      <c r="B247" s="93"/>
      <c r="C247" s="93"/>
      <c r="D247" s="100"/>
      <c r="E247" s="41"/>
      <c r="F247" s="100"/>
    </row>
    <row r="248" ht="12.75" customHeight="1">
      <c r="A248" s="100"/>
      <c r="B248" s="93"/>
      <c r="C248" s="93"/>
      <c r="D248" s="100"/>
      <c r="E248" s="41"/>
      <c r="F248" s="100"/>
    </row>
    <row r="249" ht="12.75" customHeight="1">
      <c r="A249" s="100"/>
      <c r="B249" s="93"/>
      <c r="C249" s="93"/>
      <c r="D249" s="100"/>
      <c r="E249" s="41"/>
      <c r="F249" s="100"/>
    </row>
    <row r="250" ht="12.75" customHeight="1">
      <c r="A250" s="100"/>
      <c r="B250" s="93"/>
      <c r="C250" s="93"/>
      <c r="D250" s="100"/>
      <c r="E250" s="41"/>
      <c r="F250" s="100"/>
    </row>
    <row r="251" ht="12.75" customHeight="1">
      <c r="A251" s="100"/>
      <c r="B251" s="93"/>
      <c r="C251" s="93"/>
      <c r="D251" s="100"/>
      <c r="E251" s="41"/>
      <c r="F251" s="100"/>
    </row>
    <row r="252" ht="12.75" customHeight="1">
      <c r="A252" s="100"/>
      <c r="B252" s="93"/>
      <c r="C252" s="93"/>
      <c r="D252" s="100"/>
      <c r="E252" s="41"/>
      <c r="F252" s="100"/>
    </row>
    <row r="253" ht="12.75" customHeight="1">
      <c r="A253" s="100"/>
      <c r="B253" s="93"/>
      <c r="C253" s="93"/>
      <c r="D253" s="100"/>
      <c r="E253" s="41"/>
      <c r="F253" s="100"/>
    </row>
    <row r="254" ht="12.75" customHeight="1">
      <c r="A254" s="100"/>
      <c r="B254" s="93"/>
      <c r="C254" s="93"/>
      <c r="D254" s="100"/>
      <c r="E254" s="41"/>
      <c r="F254" s="100"/>
    </row>
    <row r="255" ht="12.75" customHeight="1">
      <c r="A255" s="100"/>
      <c r="B255" s="93"/>
      <c r="C255" s="93"/>
      <c r="D255" s="100"/>
      <c r="E255" s="41"/>
      <c r="F255" s="100"/>
    </row>
    <row r="256" ht="12.75" customHeight="1">
      <c r="A256" s="100"/>
      <c r="B256" s="93"/>
      <c r="C256" s="93"/>
      <c r="D256" s="100"/>
      <c r="E256" s="41"/>
      <c r="F256" s="100"/>
    </row>
    <row r="257" ht="12.75" customHeight="1">
      <c r="A257" s="100"/>
      <c r="B257" s="93"/>
      <c r="C257" s="93"/>
      <c r="D257" s="100"/>
      <c r="E257" s="41"/>
      <c r="F257" s="100"/>
    </row>
    <row r="258" ht="12.75" customHeight="1">
      <c r="A258" s="100"/>
      <c r="B258" s="93"/>
      <c r="C258" s="93"/>
      <c r="D258" s="100"/>
      <c r="E258" s="41"/>
      <c r="F258" s="100"/>
    </row>
    <row r="259" ht="12.75" customHeight="1">
      <c r="A259" s="100"/>
      <c r="B259" s="93"/>
      <c r="C259" s="93"/>
      <c r="D259" s="100"/>
      <c r="E259" s="41"/>
      <c r="F259" s="100"/>
    </row>
    <row r="260" ht="12.75" customHeight="1">
      <c r="A260" s="100"/>
      <c r="B260" s="93"/>
      <c r="C260" s="93"/>
      <c r="D260" s="100"/>
      <c r="E260" s="41"/>
      <c r="F260" s="100"/>
    </row>
    <row r="261" ht="12.75" customHeight="1">
      <c r="A261" s="100"/>
      <c r="B261" s="93"/>
      <c r="C261" s="93"/>
      <c r="D261" s="100"/>
      <c r="E261" s="41"/>
      <c r="F261" s="100"/>
    </row>
    <row r="262" ht="12.75" customHeight="1">
      <c r="A262" s="100"/>
      <c r="B262" s="93"/>
      <c r="C262" s="93"/>
      <c r="D262" s="100"/>
      <c r="E262" s="41"/>
      <c r="F262" s="100"/>
    </row>
    <row r="263" ht="12.75" customHeight="1">
      <c r="A263" s="100"/>
      <c r="B263" s="93"/>
      <c r="C263" s="93"/>
      <c r="D263" s="100"/>
      <c r="E263" s="41"/>
      <c r="F263" s="100"/>
    </row>
    <row r="264" ht="12.75" customHeight="1">
      <c r="A264" s="100"/>
      <c r="B264" s="93"/>
      <c r="C264" s="93"/>
      <c r="D264" s="100"/>
      <c r="E264" s="41"/>
      <c r="F264" s="100"/>
    </row>
    <row r="265" ht="12.75" customHeight="1">
      <c r="A265" s="100"/>
      <c r="B265" s="93"/>
      <c r="C265" s="93"/>
      <c r="D265" s="100"/>
      <c r="E265" s="41"/>
      <c r="F265" s="100"/>
    </row>
    <row r="266" ht="12.75" customHeight="1">
      <c r="A266" s="100"/>
      <c r="B266" s="93"/>
      <c r="C266" s="93"/>
      <c r="D266" s="100"/>
      <c r="E266" s="41"/>
      <c r="F266" s="100"/>
    </row>
    <row r="267" ht="12.75" customHeight="1">
      <c r="A267" s="100"/>
      <c r="B267" s="93"/>
      <c r="C267" s="93"/>
      <c r="D267" s="100"/>
      <c r="E267" s="41"/>
      <c r="F267" s="100"/>
    </row>
    <row r="268" ht="12.75" customHeight="1">
      <c r="A268" s="100"/>
      <c r="B268" s="93"/>
      <c r="C268" s="93"/>
      <c r="D268" s="100"/>
      <c r="E268" s="41"/>
      <c r="F268" s="100"/>
    </row>
    <row r="269" ht="12.75" customHeight="1">
      <c r="A269" s="100"/>
      <c r="B269" s="93"/>
      <c r="C269" s="93"/>
      <c r="D269" s="100"/>
      <c r="E269" s="41"/>
      <c r="F269" s="100"/>
    </row>
    <row r="270" ht="12.75" customHeight="1">
      <c r="A270" s="100"/>
      <c r="B270" s="93"/>
      <c r="C270" s="93"/>
      <c r="D270" s="100"/>
      <c r="E270" s="41"/>
      <c r="F270" s="100"/>
    </row>
    <row r="271" ht="12.75" customHeight="1">
      <c r="A271" s="100"/>
      <c r="B271" s="93"/>
      <c r="C271" s="93"/>
      <c r="D271" s="100"/>
      <c r="E271" s="41"/>
      <c r="F271" s="100"/>
    </row>
    <row r="272" ht="12.75" customHeight="1">
      <c r="A272" s="100"/>
      <c r="B272" s="93"/>
      <c r="C272" s="93"/>
      <c r="D272" s="100"/>
      <c r="E272" s="41"/>
      <c r="F272" s="100"/>
    </row>
    <row r="273" ht="12.75" customHeight="1">
      <c r="A273" s="100"/>
      <c r="B273" s="93"/>
      <c r="C273" s="93"/>
      <c r="D273" s="100"/>
      <c r="E273" s="41"/>
      <c r="F273" s="100"/>
    </row>
    <row r="274" ht="12.75" customHeight="1">
      <c r="A274" s="100"/>
      <c r="B274" s="93"/>
      <c r="C274" s="93"/>
      <c r="D274" s="100"/>
      <c r="E274" s="41"/>
      <c r="F274" s="100"/>
    </row>
    <row r="275" ht="12.75" customHeight="1">
      <c r="A275" s="100"/>
      <c r="B275" s="93"/>
      <c r="C275" s="93"/>
      <c r="D275" s="100"/>
      <c r="E275" s="41"/>
      <c r="F275" s="100"/>
    </row>
    <row r="276" ht="12.75" customHeight="1">
      <c r="A276" s="100"/>
      <c r="B276" s="93"/>
      <c r="C276" s="93"/>
      <c r="D276" s="100"/>
      <c r="E276" s="41"/>
      <c r="F276" s="100"/>
    </row>
    <row r="277" ht="12.75" customHeight="1">
      <c r="A277" s="100"/>
      <c r="B277" s="93"/>
      <c r="C277" s="93"/>
      <c r="D277" s="100"/>
      <c r="E277" s="41"/>
      <c r="F277" s="100"/>
    </row>
    <row r="278" ht="12.75" customHeight="1">
      <c r="A278" s="100"/>
      <c r="B278" s="93"/>
      <c r="C278" s="93"/>
      <c r="D278" s="100"/>
      <c r="E278" s="41"/>
      <c r="F278" s="100"/>
    </row>
    <row r="279" ht="12.75" customHeight="1">
      <c r="A279" s="100"/>
      <c r="B279" s="93"/>
      <c r="C279" s="93"/>
      <c r="D279" s="100"/>
      <c r="E279" s="41"/>
      <c r="F279" s="100"/>
    </row>
    <row r="280" ht="12.75" customHeight="1">
      <c r="A280" s="100"/>
      <c r="B280" s="93"/>
      <c r="C280" s="93"/>
      <c r="D280" s="100"/>
      <c r="E280" s="41"/>
      <c r="F280" s="100"/>
    </row>
    <row r="281" ht="12.75" customHeight="1">
      <c r="A281" s="100"/>
      <c r="B281" s="93"/>
      <c r="C281" s="93"/>
      <c r="D281" s="100"/>
      <c r="E281" s="41"/>
      <c r="F281" s="100"/>
    </row>
    <row r="282" ht="12.75" customHeight="1">
      <c r="A282" s="100"/>
      <c r="B282" s="93"/>
      <c r="C282" s="93"/>
      <c r="D282" s="100"/>
      <c r="E282" s="41"/>
      <c r="F282" s="100"/>
    </row>
    <row r="283" ht="12.75" customHeight="1">
      <c r="A283" s="100"/>
      <c r="B283" s="93"/>
      <c r="C283" s="93"/>
      <c r="D283" s="100"/>
      <c r="E283" s="41"/>
      <c r="F283" s="100"/>
    </row>
    <row r="284" ht="12.75" customHeight="1">
      <c r="A284" s="100"/>
      <c r="B284" s="93"/>
      <c r="C284" s="93"/>
      <c r="D284" s="100"/>
      <c r="E284" s="41"/>
      <c r="F284" s="100"/>
    </row>
    <row r="285" ht="12.75" customHeight="1">
      <c r="A285" s="100"/>
      <c r="B285" s="93"/>
      <c r="C285" s="93"/>
      <c r="D285" s="100"/>
      <c r="E285" s="41"/>
      <c r="F285" s="100"/>
    </row>
    <row r="286" ht="12.75" customHeight="1">
      <c r="A286" s="100"/>
      <c r="B286" s="93"/>
      <c r="C286" s="93"/>
      <c r="D286" s="100"/>
      <c r="E286" s="41"/>
      <c r="F286" s="100"/>
    </row>
    <row r="287" ht="12.75" customHeight="1">
      <c r="A287" s="100"/>
      <c r="B287" s="93"/>
      <c r="C287" s="93"/>
      <c r="D287" s="100"/>
      <c r="E287" s="41"/>
      <c r="F287" s="100"/>
    </row>
    <row r="288" ht="12.75" customHeight="1">
      <c r="A288" s="100"/>
      <c r="B288" s="93"/>
      <c r="C288" s="93"/>
      <c r="D288" s="100"/>
      <c r="E288" s="41"/>
      <c r="F288" s="100"/>
    </row>
    <row r="289" ht="12.75" customHeight="1">
      <c r="A289" s="100"/>
      <c r="B289" s="93"/>
      <c r="C289" s="93"/>
      <c r="D289" s="100"/>
      <c r="E289" s="41"/>
      <c r="F289" s="100"/>
    </row>
    <row r="290" ht="12.75" customHeight="1">
      <c r="A290" s="100"/>
      <c r="B290" s="93"/>
      <c r="C290" s="93"/>
      <c r="D290" s="100"/>
      <c r="E290" s="41"/>
      <c r="F290" s="100"/>
    </row>
    <row r="291" ht="12.75" customHeight="1">
      <c r="A291" s="100"/>
      <c r="B291" s="93"/>
      <c r="C291" s="93"/>
      <c r="D291" s="100"/>
      <c r="E291" s="41"/>
      <c r="F291" s="100"/>
    </row>
    <row r="292" ht="12.75" customHeight="1">
      <c r="A292" s="100"/>
      <c r="B292" s="93"/>
      <c r="C292" s="93"/>
      <c r="D292" s="100"/>
      <c r="E292" s="41"/>
      <c r="F292" s="100"/>
    </row>
    <row r="293" ht="12.75" customHeight="1">
      <c r="A293" s="100"/>
      <c r="B293" s="93"/>
      <c r="C293" s="93"/>
      <c r="D293" s="100"/>
      <c r="E293" s="41"/>
      <c r="F293" s="100"/>
    </row>
    <row r="294" ht="12.75" customHeight="1">
      <c r="A294" s="100"/>
      <c r="B294" s="93"/>
      <c r="C294" s="93"/>
      <c r="D294" s="100"/>
      <c r="E294" s="41"/>
      <c r="F294" s="100"/>
    </row>
    <row r="295" ht="12.75" customHeight="1">
      <c r="A295" s="100"/>
      <c r="B295" s="93"/>
      <c r="C295" s="93"/>
      <c r="D295" s="100"/>
      <c r="E295" s="41"/>
      <c r="F295" s="100"/>
    </row>
    <row r="296" ht="12.75" customHeight="1">
      <c r="A296" s="100"/>
      <c r="B296" s="93"/>
      <c r="C296" s="93"/>
      <c r="D296" s="100"/>
      <c r="E296" s="41"/>
      <c r="F296" s="100"/>
    </row>
    <row r="297" ht="12.75" customHeight="1">
      <c r="A297" s="100"/>
      <c r="B297" s="93"/>
      <c r="C297" s="93"/>
      <c r="D297" s="100"/>
      <c r="E297" s="41"/>
      <c r="F297" s="100"/>
    </row>
    <row r="298" ht="12.75" customHeight="1">
      <c r="A298" s="100"/>
      <c r="B298" s="93"/>
      <c r="C298" s="93"/>
      <c r="D298" s="100"/>
      <c r="E298" s="41"/>
      <c r="F298" s="100"/>
    </row>
    <row r="299" ht="12.75" customHeight="1">
      <c r="A299" s="100"/>
      <c r="B299" s="93"/>
      <c r="C299" s="93"/>
      <c r="D299" s="100"/>
      <c r="E299" s="41"/>
      <c r="F299" s="100"/>
    </row>
    <row r="300" ht="12.75" customHeight="1">
      <c r="A300" s="100"/>
      <c r="B300" s="93"/>
      <c r="C300" s="93"/>
      <c r="D300" s="100"/>
      <c r="E300" s="41"/>
      <c r="F300" s="100"/>
    </row>
    <row r="301" ht="12.75" customHeight="1">
      <c r="A301" s="100"/>
      <c r="B301" s="93"/>
      <c r="C301" s="93"/>
      <c r="D301" s="100"/>
      <c r="E301" s="41"/>
      <c r="F301" s="100"/>
    </row>
    <row r="302" ht="12.75" customHeight="1">
      <c r="A302" s="100"/>
      <c r="B302" s="93"/>
      <c r="C302" s="93"/>
      <c r="D302" s="100"/>
      <c r="E302" s="41"/>
      <c r="F302" s="100"/>
    </row>
    <row r="303" ht="12.75" customHeight="1">
      <c r="A303" s="100"/>
      <c r="B303" s="93"/>
      <c r="C303" s="93"/>
      <c r="D303" s="100"/>
      <c r="E303" s="41"/>
      <c r="F303" s="100"/>
    </row>
    <row r="304" ht="12.75" customHeight="1">
      <c r="A304" s="100"/>
      <c r="B304" s="93"/>
      <c r="C304" s="93"/>
      <c r="D304" s="100"/>
      <c r="E304" s="41"/>
      <c r="F304" s="100"/>
    </row>
    <row r="305" ht="12.75" customHeight="1">
      <c r="A305" s="100"/>
      <c r="B305" s="93"/>
      <c r="C305" s="93"/>
      <c r="D305" s="100"/>
      <c r="E305" s="41"/>
      <c r="F305" s="100"/>
    </row>
    <row r="306" ht="12.75" customHeight="1">
      <c r="A306" s="100"/>
      <c r="B306" s="93"/>
      <c r="C306" s="93"/>
      <c r="D306" s="100"/>
      <c r="E306" s="41"/>
      <c r="F306" s="100"/>
    </row>
    <row r="307" ht="12.75" customHeight="1">
      <c r="A307" s="100"/>
      <c r="B307" s="93"/>
      <c r="C307" s="93"/>
      <c r="D307" s="100"/>
      <c r="E307" s="41"/>
      <c r="F307" s="100"/>
    </row>
    <row r="308" ht="12.75" customHeight="1">
      <c r="A308" s="100"/>
      <c r="B308" s="93"/>
      <c r="C308" s="93"/>
      <c r="D308" s="100"/>
      <c r="E308" s="41"/>
      <c r="F308" s="100"/>
    </row>
    <row r="309" ht="12.75" customHeight="1">
      <c r="A309" s="100"/>
      <c r="B309" s="93"/>
      <c r="C309" s="93"/>
      <c r="D309" s="100"/>
      <c r="E309" s="41"/>
      <c r="F309" s="100"/>
    </row>
    <row r="310" ht="12.75" customHeight="1">
      <c r="A310" s="100"/>
      <c r="B310" s="93"/>
      <c r="C310" s="93"/>
      <c r="D310" s="100"/>
      <c r="E310" s="41"/>
      <c r="F310" s="100"/>
    </row>
    <row r="311" ht="12.75" customHeight="1">
      <c r="A311" s="100"/>
      <c r="B311" s="93"/>
      <c r="C311" s="93"/>
      <c r="D311" s="100"/>
      <c r="E311" s="41"/>
      <c r="F311" s="100"/>
    </row>
    <row r="312" ht="12.75" customHeight="1">
      <c r="A312" s="100"/>
      <c r="B312" s="93"/>
      <c r="C312" s="93"/>
      <c r="D312" s="100"/>
      <c r="E312" s="41"/>
      <c r="F312" s="100"/>
    </row>
    <row r="313" ht="12.75" customHeight="1">
      <c r="A313" s="100"/>
      <c r="B313" s="93"/>
      <c r="C313" s="93"/>
      <c r="D313" s="100"/>
      <c r="E313" s="41"/>
      <c r="F313" s="100"/>
    </row>
    <row r="314" ht="12.75" customHeight="1">
      <c r="A314" s="100"/>
      <c r="B314" s="93"/>
      <c r="C314" s="93"/>
      <c r="D314" s="100"/>
      <c r="E314" s="41"/>
      <c r="F314" s="100"/>
    </row>
    <row r="315" ht="12.75" customHeight="1">
      <c r="A315" s="100"/>
      <c r="B315" s="93"/>
      <c r="C315" s="93"/>
      <c r="D315" s="100"/>
      <c r="E315" s="41"/>
      <c r="F315" s="100"/>
    </row>
    <row r="316" ht="12.75" customHeight="1">
      <c r="A316" s="100"/>
      <c r="B316" s="93"/>
      <c r="C316" s="93"/>
      <c r="D316" s="100"/>
      <c r="E316" s="41"/>
      <c r="F316" s="100"/>
    </row>
    <row r="317" ht="12.75" customHeight="1">
      <c r="A317" s="100"/>
      <c r="B317" s="93"/>
      <c r="C317" s="93"/>
      <c r="D317" s="100"/>
      <c r="E317" s="41"/>
      <c r="F317" s="100"/>
    </row>
    <row r="318" ht="12.75" customHeight="1">
      <c r="A318" s="100"/>
      <c r="B318" s="93"/>
      <c r="C318" s="93"/>
      <c r="D318" s="100"/>
      <c r="E318" s="41"/>
      <c r="F318" s="100"/>
    </row>
    <row r="319" ht="12.75" customHeight="1">
      <c r="A319" s="100"/>
      <c r="B319" s="93"/>
      <c r="C319" s="93"/>
      <c r="D319" s="100"/>
      <c r="E319" s="41"/>
      <c r="F319" s="100"/>
    </row>
    <row r="320" ht="12.75" customHeight="1">
      <c r="A320" s="100"/>
      <c r="B320" s="93"/>
      <c r="C320" s="93"/>
      <c r="D320" s="100"/>
      <c r="E320" s="41"/>
      <c r="F320" s="100"/>
    </row>
    <row r="321" ht="12.75" customHeight="1">
      <c r="A321" s="100"/>
      <c r="B321" s="93"/>
      <c r="C321" s="93"/>
      <c r="D321" s="100"/>
      <c r="E321" s="41"/>
      <c r="F321" s="100"/>
    </row>
    <row r="322" ht="12.75" customHeight="1">
      <c r="A322" s="100"/>
      <c r="B322" s="93"/>
      <c r="C322" s="93"/>
      <c r="D322" s="100"/>
      <c r="E322" s="41"/>
      <c r="F322" s="100"/>
    </row>
    <row r="323" ht="12.75" customHeight="1">
      <c r="A323" s="100"/>
      <c r="B323" s="93"/>
      <c r="C323" s="93"/>
      <c r="D323" s="100"/>
      <c r="E323" s="41"/>
      <c r="F323" s="100"/>
    </row>
    <row r="324" ht="12.75" customHeight="1">
      <c r="A324" s="100"/>
      <c r="B324" s="93"/>
      <c r="C324" s="93"/>
      <c r="D324" s="100"/>
      <c r="E324" s="41"/>
      <c r="F324" s="100"/>
    </row>
    <row r="325" ht="12.75" customHeight="1">
      <c r="A325" s="100"/>
      <c r="B325" s="93"/>
      <c r="C325" s="93"/>
      <c r="D325" s="100"/>
      <c r="E325" s="41"/>
      <c r="F325" s="100"/>
    </row>
    <row r="326" ht="12.75" customHeight="1">
      <c r="A326" s="100"/>
      <c r="B326" s="93"/>
      <c r="C326" s="93"/>
      <c r="D326" s="100"/>
      <c r="E326" s="41"/>
      <c r="F326" s="100"/>
    </row>
    <row r="327" ht="12.75" customHeight="1">
      <c r="A327" s="100"/>
      <c r="B327" s="93"/>
      <c r="C327" s="93"/>
      <c r="D327" s="100"/>
      <c r="E327" s="41"/>
      <c r="F327" s="100"/>
    </row>
    <row r="328" ht="12.75" customHeight="1">
      <c r="A328" s="100"/>
      <c r="B328" s="93"/>
      <c r="C328" s="93"/>
      <c r="D328" s="100"/>
      <c r="E328" s="41"/>
      <c r="F328" s="100"/>
    </row>
    <row r="329" ht="12.75" customHeight="1">
      <c r="A329" s="100"/>
      <c r="B329" s="93"/>
      <c r="C329" s="93"/>
      <c r="D329" s="100"/>
      <c r="E329" s="41"/>
      <c r="F329" s="100"/>
    </row>
    <row r="330" ht="12.75" customHeight="1">
      <c r="A330" s="100"/>
      <c r="B330" s="93"/>
      <c r="C330" s="93"/>
      <c r="D330" s="100"/>
      <c r="E330" s="41"/>
      <c r="F330" s="100"/>
    </row>
    <row r="331" ht="12.75" customHeight="1">
      <c r="A331" s="100"/>
      <c r="B331" s="93"/>
      <c r="C331" s="93"/>
      <c r="D331" s="100"/>
      <c r="E331" s="41"/>
      <c r="F331" s="100"/>
    </row>
    <row r="332" ht="12.75" customHeight="1">
      <c r="A332" s="100"/>
      <c r="B332" s="93"/>
      <c r="C332" s="93"/>
      <c r="D332" s="100"/>
      <c r="E332" s="41"/>
      <c r="F332" s="100"/>
    </row>
    <row r="333" ht="12.75" customHeight="1">
      <c r="A333" s="100"/>
      <c r="B333" s="93"/>
      <c r="C333" s="93"/>
      <c r="D333" s="100"/>
      <c r="E333" s="41"/>
      <c r="F333" s="100"/>
    </row>
    <row r="334" ht="12.75" customHeight="1">
      <c r="A334" s="100"/>
      <c r="B334" s="93"/>
      <c r="C334" s="93"/>
      <c r="D334" s="100"/>
      <c r="E334" s="41"/>
      <c r="F334" s="100"/>
    </row>
    <row r="335" ht="12.75" customHeight="1">
      <c r="A335" s="100"/>
      <c r="B335" s="93"/>
      <c r="C335" s="93"/>
      <c r="D335" s="100"/>
      <c r="E335" s="41"/>
      <c r="F335" s="100"/>
    </row>
    <row r="336" ht="12.75" customHeight="1">
      <c r="A336" s="100"/>
      <c r="B336" s="93"/>
      <c r="C336" s="93"/>
      <c r="D336" s="100"/>
      <c r="E336" s="41"/>
      <c r="F336" s="100"/>
    </row>
    <row r="337" ht="12.75" customHeight="1">
      <c r="A337" s="100"/>
      <c r="B337" s="93"/>
      <c r="C337" s="93"/>
      <c r="D337" s="100"/>
      <c r="E337" s="41"/>
      <c r="F337" s="100"/>
    </row>
    <row r="338" ht="12.75" customHeight="1">
      <c r="A338" s="100"/>
      <c r="B338" s="93"/>
      <c r="C338" s="93"/>
      <c r="D338" s="100"/>
      <c r="E338" s="41"/>
      <c r="F338" s="100"/>
    </row>
    <row r="339" ht="12.75" customHeight="1">
      <c r="A339" s="100"/>
      <c r="B339" s="93"/>
      <c r="C339" s="93"/>
      <c r="D339" s="100"/>
      <c r="E339" s="41"/>
      <c r="F339" s="100"/>
    </row>
    <row r="340" ht="12.75" customHeight="1">
      <c r="A340" s="100"/>
      <c r="B340" s="93"/>
      <c r="C340" s="93"/>
      <c r="D340" s="100"/>
      <c r="E340" s="41"/>
      <c r="F340" s="100"/>
    </row>
    <row r="341" ht="12.75" customHeight="1">
      <c r="A341" s="100"/>
      <c r="B341" s="93"/>
      <c r="C341" s="93"/>
      <c r="D341" s="100"/>
      <c r="E341" s="41"/>
      <c r="F341" s="100"/>
    </row>
    <row r="342" ht="12.75" customHeight="1">
      <c r="A342" s="100"/>
      <c r="B342" s="93"/>
      <c r="C342" s="93"/>
      <c r="D342" s="100"/>
      <c r="E342" s="41"/>
      <c r="F342" s="100"/>
    </row>
    <row r="343" ht="12.75" customHeight="1">
      <c r="A343" s="100"/>
      <c r="B343" s="93"/>
      <c r="C343" s="93"/>
      <c r="D343" s="100"/>
      <c r="E343" s="41"/>
      <c r="F343" s="100"/>
    </row>
    <row r="344" ht="12.75" customHeight="1">
      <c r="A344" s="100"/>
      <c r="B344" s="93"/>
      <c r="C344" s="93"/>
      <c r="D344" s="100"/>
      <c r="E344" s="41"/>
      <c r="F344" s="100"/>
    </row>
    <row r="345" ht="12.75" customHeight="1">
      <c r="A345" s="100"/>
      <c r="B345" s="93"/>
      <c r="C345" s="93"/>
      <c r="D345" s="100"/>
      <c r="E345" s="41"/>
      <c r="F345" s="100"/>
    </row>
    <row r="346" ht="12.75" customHeight="1">
      <c r="A346" s="100"/>
      <c r="B346" s="93"/>
      <c r="C346" s="93"/>
      <c r="D346" s="100"/>
      <c r="E346" s="41"/>
      <c r="F346" s="100"/>
    </row>
    <row r="347" ht="12.75" customHeight="1">
      <c r="A347" s="100"/>
      <c r="B347" s="93"/>
      <c r="C347" s="93"/>
      <c r="D347" s="100"/>
      <c r="E347" s="41"/>
      <c r="F347" s="100"/>
    </row>
    <row r="348" ht="12.75" customHeight="1">
      <c r="A348" s="100"/>
      <c r="B348" s="93"/>
      <c r="C348" s="93"/>
      <c r="D348" s="100"/>
      <c r="E348" s="41"/>
      <c r="F348" s="100"/>
    </row>
    <row r="349" ht="12.75" customHeight="1">
      <c r="A349" s="100"/>
      <c r="B349" s="93"/>
      <c r="C349" s="93"/>
      <c r="D349" s="100"/>
      <c r="E349" s="41"/>
      <c r="F349" s="100"/>
    </row>
    <row r="350" ht="12.75" customHeight="1">
      <c r="A350" s="100"/>
      <c r="B350" s="93"/>
      <c r="C350" s="93"/>
      <c r="D350" s="100"/>
      <c r="E350" s="41"/>
      <c r="F350" s="100"/>
    </row>
    <row r="351" ht="12.75" customHeight="1">
      <c r="A351" s="100"/>
      <c r="B351" s="93"/>
      <c r="C351" s="93"/>
      <c r="D351" s="100"/>
      <c r="E351" s="41"/>
      <c r="F351" s="100"/>
    </row>
    <row r="352" ht="12.75" customHeight="1">
      <c r="A352" s="100"/>
      <c r="B352" s="93"/>
      <c r="C352" s="93"/>
      <c r="D352" s="100"/>
      <c r="E352" s="41"/>
      <c r="F352" s="100"/>
    </row>
    <row r="353" ht="12.75" customHeight="1">
      <c r="A353" s="100"/>
      <c r="B353" s="93"/>
      <c r="C353" s="93"/>
      <c r="D353" s="100"/>
      <c r="E353" s="41"/>
      <c r="F353" s="100"/>
    </row>
    <row r="354" ht="12.75" customHeight="1">
      <c r="A354" s="100"/>
      <c r="B354" s="93"/>
      <c r="C354" s="93"/>
      <c r="D354" s="100"/>
      <c r="E354" s="41"/>
      <c r="F354" s="100"/>
    </row>
    <row r="355" ht="12.75" customHeight="1">
      <c r="A355" s="100"/>
      <c r="B355" s="93"/>
      <c r="C355" s="93"/>
      <c r="D355" s="100"/>
      <c r="E355" s="41"/>
      <c r="F355" s="100"/>
    </row>
    <row r="356" ht="12.75" customHeight="1">
      <c r="A356" s="100"/>
      <c r="B356" s="93"/>
      <c r="C356" s="93"/>
      <c r="D356" s="100"/>
      <c r="E356" s="41"/>
      <c r="F356" s="100"/>
    </row>
    <row r="357" ht="12.75" customHeight="1">
      <c r="A357" s="100"/>
      <c r="B357" s="93"/>
      <c r="C357" s="93"/>
      <c r="D357" s="100"/>
      <c r="E357" s="41"/>
      <c r="F357" s="100"/>
    </row>
    <row r="358" ht="12.75" customHeight="1">
      <c r="A358" s="100"/>
      <c r="B358" s="93"/>
      <c r="C358" s="93"/>
      <c r="D358" s="100"/>
      <c r="E358" s="41"/>
      <c r="F358" s="100"/>
    </row>
    <row r="359" ht="12.75" customHeight="1">
      <c r="A359" s="100"/>
      <c r="B359" s="93"/>
      <c r="C359" s="93"/>
      <c r="D359" s="100"/>
      <c r="E359" s="41"/>
      <c r="F359" s="100"/>
    </row>
    <row r="360" ht="12.75" customHeight="1">
      <c r="A360" s="100"/>
      <c r="B360" s="93"/>
      <c r="C360" s="93"/>
      <c r="D360" s="100"/>
      <c r="E360" s="41"/>
      <c r="F360" s="100"/>
    </row>
    <row r="361" ht="12.75" customHeight="1">
      <c r="A361" s="100"/>
      <c r="B361" s="93"/>
      <c r="C361" s="93"/>
      <c r="D361" s="100"/>
      <c r="E361" s="41"/>
      <c r="F361" s="100"/>
    </row>
    <row r="362" ht="12.75" customHeight="1">
      <c r="A362" s="100"/>
      <c r="B362" s="93"/>
      <c r="C362" s="93"/>
      <c r="D362" s="100"/>
      <c r="E362" s="41"/>
      <c r="F362" s="100"/>
    </row>
    <row r="363" ht="12.75" customHeight="1">
      <c r="A363" s="100"/>
      <c r="B363" s="93"/>
      <c r="C363" s="93"/>
      <c r="D363" s="100"/>
      <c r="E363" s="41"/>
      <c r="F363" s="100"/>
    </row>
    <row r="364" ht="12.75" customHeight="1">
      <c r="A364" s="100"/>
      <c r="B364" s="93"/>
      <c r="C364" s="93"/>
      <c r="D364" s="100"/>
      <c r="E364" s="41"/>
      <c r="F364" s="100"/>
    </row>
    <row r="365" ht="12.75" customHeight="1">
      <c r="A365" s="100"/>
      <c r="B365" s="93"/>
      <c r="C365" s="93"/>
      <c r="D365" s="100"/>
      <c r="E365" s="41"/>
      <c r="F365" s="100"/>
    </row>
    <row r="366" ht="12.75" customHeight="1">
      <c r="A366" s="100"/>
      <c r="B366" s="93"/>
      <c r="C366" s="93"/>
      <c r="D366" s="100"/>
      <c r="E366" s="41"/>
      <c r="F366" s="100"/>
    </row>
    <row r="367" ht="12.75" customHeight="1">
      <c r="A367" s="100"/>
      <c r="B367" s="93"/>
      <c r="C367" s="93"/>
      <c r="D367" s="100"/>
      <c r="E367" s="41"/>
      <c r="F367" s="100"/>
    </row>
    <row r="368" ht="12.75" customHeight="1">
      <c r="A368" s="100"/>
      <c r="B368" s="93"/>
      <c r="C368" s="93"/>
      <c r="D368" s="100"/>
      <c r="E368" s="41"/>
      <c r="F368" s="100"/>
    </row>
    <row r="369" ht="12.75" customHeight="1">
      <c r="A369" s="100"/>
      <c r="B369" s="93"/>
      <c r="C369" s="93"/>
      <c r="D369" s="100"/>
      <c r="E369" s="41"/>
      <c r="F369" s="100"/>
    </row>
    <row r="370" ht="12.75" customHeight="1">
      <c r="A370" s="100"/>
      <c r="B370" s="93"/>
      <c r="C370" s="93"/>
      <c r="D370" s="100"/>
      <c r="E370" s="41"/>
      <c r="F370" s="100"/>
    </row>
    <row r="371" ht="12.75" customHeight="1">
      <c r="A371" s="100"/>
      <c r="B371" s="93"/>
      <c r="C371" s="93"/>
      <c r="D371" s="100"/>
      <c r="E371" s="41"/>
      <c r="F371" s="100"/>
    </row>
    <row r="372" ht="12.75" customHeight="1">
      <c r="A372" s="100"/>
      <c r="B372" s="93"/>
      <c r="C372" s="93"/>
      <c r="D372" s="100"/>
      <c r="E372" s="41"/>
      <c r="F372" s="100"/>
    </row>
    <row r="373" ht="12.75" customHeight="1">
      <c r="A373" s="100"/>
      <c r="B373" s="93"/>
      <c r="C373" s="93"/>
      <c r="D373" s="100"/>
      <c r="E373" s="41"/>
      <c r="F373" s="100"/>
    </row>
    <row r="374" ht="12.75" customHeight="1">
      <c r="A374" s="100"/>
      <c r="B374" s="93"/>
      <c r="C374" s="93"/>
      <c r="D374" s="100"/>
      <c r="E374" s="41"/>
      <c r="F374" s="100"/>
    </row>
    <row r="375" ht="12.75" customHeight="1">
      <c r="A375" s="100"/>
      <c r="B375" s="93"/>
      <c r="C375" s="93"/>
      <c r="D375" s="100"/>
      <c r="E375" s="41"/>
      <c r="F375" s="100"/>
    </row>
    <row r="376" ht="12.75" customHeight="1">
      <c r="A376" s="100"/>
      <c r="B376" s="93"/>
      <c r="C376" s="93"/>
      <c r="D376" s="100"/>
      <c r="E376" s="41"/>
      <c r="F376" s="100"/>
    </row>
    <row r="377" ht="12.75" customHeight="1">
      <c r="A377" s="100"/>
      <c r="B377" s="93"/>
      <c r="C377" s="93"/>
      <c r="D377" s="100"/>
      <c r="E377" s="41"/>
      <c r="F377" s="100"/>
    </row>
    <row r="378" ht="12.75" customHeight="1">
      <c r="A378" s="100"/>
      <c r="B378" s="93"/>
      <c r="C378" s="93"/>
      <c r="D378" s="100"/>
      <c r="E378" s="41"/>
      <c r="F378" s="100"/>
    </row>
    <row r="379" ht="12.75" customHeight="1">
      <c r="A379" s="100"/>
      <c r="B379" s="93"/>
      <c r="C379" s="93"/>
      <c r="D379" s="100"/>
      <c r="E379" s="41"/>
      <c r="F379" s="100"/>
    </row>
    <row r="380" ht="12.75" customHeight="1">
      <c r="A380" s="100"/>
      <c r="B380" s="93"/>
      <c r="C380" s="93"/>
      <c r="D380" s="100"/>
      <c r="E380" s="41"/>
      <c r="F380" s="100"/>
    </row>
    <row r="381" ht="12.75" customHeight="1">
      <c r="A381" s="100"/>
      <c r="B381" s="93"/>
      <c r="C381" s="93"/>
      <c r="D381" s="100"/>
      <c r="E381" s="41"/>
      <c r="F381" s="100"/>
    </row>
    <row r="382" ht="12.75" customHeight="1">
      <c r="A382" s="100"/>
      <c r="B382" s="93"/>
      <c r="C382" s="93"/>
      <c r="D382" s="100"/>
      <c r="E382" s="41"/>
      <c r="F382" s="100"/>
    </row>
    <row r="383" ht="12.75" customHeight="1">
      <c r="A383" s="100"/>
      <c r="B383" s="93"/>
      <c r="C383" s="93"/>
      <c r="D383" s="100"/>
      <c r="E383" s="41"/>
      <c r="F383" s="100"/>
    </row>
    <row r="384" ht="12.75" customHeight="1">
      <c r="A384" s="100"/>
      <c r="B384" s="93"/>
      <c r="C384" s="93"/>
      <c r="D384" s="100"/>
      <c r="E384" s="41"/>
      <c r="F384" s="100"/>
    </row>
    <row r="385" ht="12.75" customHeight="1">
      <c r="A385" s="100"/>
      <c r="B385" s="93"/>
      <c r="C385" s="93"/>
      <c r="D385" s="100"/>
      <c r="E385" s="41"/>
      <c r="F385" s="100"/>
    </row>
    <row r="386" ht="12.75" customHeight="1">
      <c r="A386" s="100"/>
      <c r="B386" s="93"/>
      <c r="C386" s="93"/>
      <c r="D386" s="100"/>
      <c r="E386" s="41"/>
      <c r="F386" s="100"/>
    </row>
    <row r="387" ht="12.75" customHeight="1">
      <c r="A387" s="100"/>
      <c r="B387" s="93"/>
      <c r="C387" s="93"/>
      <c r="D387" s="100"/>
      <c r="E387" s="41"/>
      <c r="F387" s="100"/>
    </row>
    <row r="388" ht="12.75" customHeight="1">
      <c r="A388" s="100"/>
      <c r="B388" s="93"/>
      <c r="C388" s="93"/>
      <c r="D388" s="100"/>
      <c r="E388" s="41"/>
      <c r="F388" s="100"/>
    </row>
    <row r="389" ht="12.75" customHeight="1">
      <c r="A389" s="100"/>
      <c r="B389" s="93"/>
      <c r="C389" s="93"/>
      <c r="D389" s="100"/>
      <c r="E389" s="41"/>
      <c r="F389" s="100"/>
    </row>
    <row r="390" ht="12.75" customHeight="1">
      <c r="A390" s="100"/>
      <c r="B390" s="93"/>
      <c r="C390" s="93"/>
      <c r="D390" s="100"/>
      <c r="E390" s="41"/>
      <c r="F390" s="100"/>
    </row>
    <row r="391" ht="12.75" customHeight="1">
      <c r="A391" s="100"/>
      <c r="B391" s="93"/>
      <c r="C391" s="93"/>
      <c r="D391" s="100"/>
      <c r="E391" s="41"/>
      <c r="F391" s="100"/>
    </row>
    <row r="392" ht="12.75" customHeight="1">
      <c r="A392" s="100"/>
      <c r="B392" s="93"/>
      <c r="C392" s="93"/>
      <c r="D392" s="100"/>
      <c r="E392" s="41"/>
      <c r="F392" s="100"/>
    </row>
    <row r="393" ht="12.75" customHeight="1">
      <c r="A393" s="100"/>
      <c r="B393" s="93"/>
      <c r="C393" s="93"/>
      <c r="D393" s="100"/>
      <c r="E393" s="41"/>
      <c r="F393" s="100"/>
    </row>
    <row r="394" ht="12.75" customHeight="1">
      <c r="A394" s="100"/>
      <c r="B394" s="93"/>
      <c r="C394" s="93"/>
      <c r="D394" s="100"/>
      <c r="E394" s="41"/>
      <c r="F394" s="100"/>
    </row>
    <row r="395" ht="12.75" customHeight="1">
      <c r="A395" s="100"/>
      <c r="B395" s="93"/>
      <c r="C395" s="93"/>
      <c r="D395" s="100"/>
      <c r="E395" s="41"/>
      <c r="F395" s="100"/>
    </row>
    <row r="396" ht="12.75" customHeight="1">
      <c r="A396" s="100"/>
      <c r="B396" s="93"/>
      <c r="C396" s="93"/>
      <c r="D396" s="100"/>
      <c r="E396" s="41"/>
      <c r="F396" s="100"/>
    </row>
    <row r="397" ht="12.75" customHeight="1">
      <c r="A397" s="100"/>
      <c r="B397" s="93"/>
      <c r="C397" s="93"/>
      <c r="D397" s="100"/>
      <c r="E397" s="41"/>
      <c r="F397" s="100"/>
    </row>
    <row r="398" ht="12.75" customHeight="1">
      <c r="A398" s="100"/>
      <c r="B398" s="93"/>
      <c r="C398" s="93"/>
      <c r="D398" s="100"/>
      <c r="E398" s="41"/>
      <c r="F398" s="100"/>
    </row>
    <row r="399" ht="12.75" customHeight="1">
      <c r="A399" s="100"/>
      <c r="B399" s="93"/>
      <c r="C399" s="93"/>
      <c r="D399" s="100"/>
      <c r="E399" s="41"/>
      <c r="F399" s="100"/>
    </row>
    <row r="400" ht="12.75" customHeight="1">
      <c r="A400" s="100"/>
      <c r="B400" s="93"/>
      <c r="C400" s="93"/>
      <c r="D400" s="100"/>
      <c r="E400" s="41"/>
      <c r="F400" s="100"/>
    </row>
    <row r="401" ht="12.75" customHeight="1">
      <c r="A401" s="100"/>
      <c r="B401" s="93"/>
      <c r="C401" s="93"/>
      <c r="D401" s="100"/>
      <c r="E401" s="41"/>
      <c r="F401" s="100"/>
    </row>
    <row r="402" ht="12.75" customHeight="1">
      <c r="A402" s="100"/>
      <c r="B402" s="93"/>
      <c r="C402" s="93"/>
      <c r="D402" s="100"/>
      <c r="E402" s="41"/>
      <c r="F402" s="100"/>
    </row>
    <row r="403" ht="12.75" customHeight="1">
      <c r="A403" s="100"/>
      <c r="B403" s="93"/>
      <c r="C403" s="93"/>
      <c r="D403" s="100"/>
      <c r="E403" s="41"/>
      <c r="F403" s="100"/>
    </row>
    <row r="404" ht="12.75" customHeight="1">
      <c r="A404" s="100"/>
      <c r="B404" s="93"/>
      <c r="C404" s="93"/>
      <c r="D404" s="100"/>
      <c r="E404" s="41"/>
      <c r="F404" s="100"/>
    </row>
    <row r="405" ht="12.75" customHeight="1">
      <c r="A405" s="100"/>
      <c r="B405" s="93"/>
      <c r="C405" s="93"/>
      <c r="D405" s="100"/>
      <c r="E405" s="41"/>
      <c r="F405" s="100"/>
    </row>
    <row r="406" ht="12.75" customHeight="1">
      <c r="A406" s="100"/>
      <c r="B406" s="93"/>
      <c r="C406" s="93"/>
      <c r="D406" s="100"/>
      <c r="E406" s="41"/>
      <c r="F406" s="100"/>
    </row>
    <row r="407" ht="12.75" customHeight="1">
      <c r="A407" s="100"/>
      <c r="B407" s="93"/>
      <c r="C407" s="93"/>
      <c r="D407" s="100"/>
      <c r="E407" s="41"/>
      <c r="F407" s="100"/>
    </row>
    <row r="408" ht="12.75" customHeight="1">
      <c r="A408" s="100"/>
      <c r="B408" s="93"/>
      <c r="C408" s="93"/>
      <c r="D408" s="100"/>
      <c r="E408" s="41"/>
      <c r="F408" s="100"/>
    </row>
    <row r="409" ht="12.75" customHeight="1">
      <c r="A409" s="100"/>
      <c r="B409" s="93"/>
      <c r="C409" s="93"/>
      <c r="D409" s="100"/>
      <c r="E409" s="41"/>
      <c r="F409" s="100"/>
    </row>
    <row r="410" ht="12.75" customHeight="1">
      <c r="A410" s="100"/>
      <c r="B410" s="93"/>
      <c r="C410" s="93"/>
      <c r="D410" s="100"/>
      <c r="E410" s="41"/>
      <c r="F410" s="100"/>
    </row>
    <row r="411" ht="12.75" customHeight="1">
      <c r="A411" s="100"/>
      <c r="B411" s="93"/>
      <c r="C411" s="93"/>
      <c r="D411" s="100"/>
      <c r="E411" s="41"/>
      <c r="F411" s="100"/>
    </row>
    <row r="412" ht="12.75" customHeight="1">
      <c r="A412" s="100"/>
      <c r="B412" s="93"/>
      <c r="C412" s="93"/>
      <c r="D412" s="100"/>
      <c r="E412" s="41"/>
      <c r="F412" s="100"/>
    </row>
    <row r="413" ht="12.75" customHeight="1">
      <c r="A413" s="100"/>
      <c r="B413" s="93"/>
      <c r="C413" s="93"/>
      <c r="D413" s="100"/>
      <c r="E413" s="41"/>
      <c r="F413" s="100"/>
    </row>
    <row r="414" ht="12.75" customHeight="1">
      <c r="A414" s="100"/>
      <c r="B414" s="93"/>
      <c r="C414" s="93"/>
      <c r="D414" s="100"/>
      <c r="E414" s="41"/>
      <c r="F414" s="100"/>
    </row>
    <row r="415" ht="12.75" customHeight="1">
      <c r="A415" s="100"/>
      <c r="B415" s="93"/>
      <c r="C415" s="93"/>
      <c r="D415" s="100"/>
      <c r="E415" s="41"/>
      <c r="F415" s="100"/>
    </row>
    <row r="416" ht="12.75" customHeight="1">
      <c r="A416" s="100"/>
      <c r="B416" s="93"/>
      <c r="C416" s="93"/>
      <c r="D416" s="100"/>
      <c r="E416" s="41"/>
      <c r="F416" s="100"/>
    </row>
    <row r="417" ht="12.75" customHeight="1">
      <c r="A417" s="100"/>
      <c r="B417" s="93"/>
      <c r="C417" s="93"/>
      <c r="D417" s="100"/>
      <c r="E417" s="41"/>
      <c r="F417" s="100"/>
    </row>
    <row r="418" ht="12.75" customHeight="1">
      <c r="A418" s="100"/>
      <c r="B418" s="93"/>
      <c r="C418" s="93"/>
      <c r="D418" s="100"/>
      <c r="E418" s="41"/>
      <c r="F418" s="100"/>
    </row>
    <row r="419" ht="12.75" customHeight="1">
      <c r="A419" s="100"/>
      <c r="B419" s="93"/>
      <c r="C419" s="93"/>
      <c r="D419" s="100"/>
      <c r="E419" s="41"/>
      <c r="F419" s="100"/>
    </row>
    <row r="420" ht="12.75" customHeight="1">
      <c r="A420" s="100"/>
      <c r="B420" s="93"/>
      <c r="C420" s="93"/>
      <c r="D420" s="100"/>
      <c r="E420" s="41"/>
      <c r="F420" s="100"/>
    </row>
    <row r="421" ht="12.75" customHeight="1">
      <c r="A421" s="100"/>
      <c r="B421" s="93"/>
      <c r="C421" s="93"/>
      <c r="D421" s="100"/>
      <c r="E421" s="41"/>
      <c r="F421" s="100"/>
    </row>
    <row r="422" ht="12.75" customHeight="1">
      <c r="A422" s="100"/>
      <c r="B422" s="93"/>
      <c r="C422" s="93"/>
      <c r="D422" s="100"/>
      <c r="E422" s="41"/>
      <c r="F422" s="100"/>
    </row>
    <row r="423" ht="12.75" customHeight="1">
      <c r="A423" s="100"/>
      <c r="B423" s="93"/>
      <c r="C423" s="93"/>
      <c r="D423" s="100"/>
      <c r="E423" s="41"/>
      <c r="F423" s="100"/>
    </row>
    <row r="424" ht="12.75" customHeight="1">
      <c r="A424" s="100"/>
      <c r="B424" s="93"/>
      <c r="C424" s="93"/>
      <c r="D424" s="100"/>
      <c r="E424" s="41"/>
      <c r="F424" s="100"/>
    </row>
    <row r="425" ht="12.75" customHeight="1">
      <c r="A425" s="100"/>
      <c r="B425" s="93"/>
      <c r="C425" s="93"/>
      <c r="D425" s="100"/>
      <c r="E425" s="41"/>
      <c r="F425" s="100"/>
    </row>
    <row r="426" ht="12.75" customHeight="1">
      <c r="A426" s="100"/>
      <c r="B426" s="93"/>
      <c r="C426" s="93"/>
      <c r="D426" s="100"/>
      <c r="E426" s="41"/>
      <c r="F426" s="100"/>
    </row>
    <row r="427" ht="12.75" customHeight="1">
      <c r="A427" s="100"/>
      <c r="B427" s="93"/>
      <c r="C427" s="93"/>
      <c r="D427" s="100"/>
      <c r="E427" s="41"/>
      <c r="F427" s="100"/>
    </row>
    <row r="428" ht="12.75" customHeight="1">
      <c r="A428" s="100"/>
      <c r="B428" s="93"/>
      <c r="C428" s="93"/>
      <c r="D428" s="100"/>
      <c r="E428" s="41"/>
      <c r="F428" s="100"/>
    </row>
    <row r="429" ht="12.75" customHeight="1">
      <c r="A429" s="100"/>
      <c r="B429" s="93"/>
      <c r="C429" s="93"/>
      <c r="D429" s="100"/>
      <c r="E429" s="41"/>
      <c r="F429" s="100"/>
    </row>
    <row r="430" ht="12.75" customHeight="1">
      <c r="A430" s="100"/>
      <c r="B430" s="93"/>
      <c r="C430" s="93"/>
      <c r="D430" s="100"/>
      <c r="E430" s="41"/>
      <c r="F430" s="100"/>
    </row>
    <row r="431" ht="12.75" customHeight="1">
      <c r="A431" s="100"/>
      <c r="B431" s="93"/>
      <c r="C431" s="93"/>
      <c r="D431" s="100"/>
      <c r="E431" s="41"/>
      <c r="F431" s="100"/>
    </row>
    <row r="432" ht="12.75" customHeight="1">
      <c r="A432" s="100"/>
      <c r="B432" s="93"/>
      <c r="C432" s="93"/>
      <c r="D432" s="100"/>
      <c r="E432" s="41"/>
      <c r="F432" s="100"/>
    </row>
    <row r="433" ht="12.75" customHeight="1">
      <c r="A433" s="100"/>
      <c r="B433" s="93"/>
      <c r="C433" s="93"/>
      <c r="D433" s="100"/>
      <c r="E433" s="41"/>
      <c r="F433" s="100"/>
    </row>
    <row r="434" ht="12.75" customHeight="1">
      <c r="A434" s="100"/>
      <c r="B434" s="93"/>
      <c r="C434" s="93"/>
      <c r="D434" s="100"/>
      <c r="E434" s="41"/>
      <c r="F434" s="100"/>
    </row>
    <row r="435" ht="12.75" customHeight="1">
      <c r="A435" s="100"/>
      <c r="B435" s="93"/>
      <c r="C435" s="93"/>
      <c r="D435" s="100"/>
      <c r="E435" s="41"/>
      <c r="F435" s="100"/>
    </row>
    <row r="436" ht="12.75" customHeight="1">
      <c r="A436" s="100"/>
      <c r="B436" s="93"/>
      <c r="C436" s="93"/>
      <c r="D436" s="100"/>
      <c r="E436" s="41"/>
      <c r="F436" s="100"/>
    </row>
    <row r="437" ht="12.75" customHeight="1">
      <c r="A437" s="100"/>
      <c r="B437" s="93"/>
      <c r="C437" s="93"/>
      <c r="D437" s="100"/>
      <c r="E437" s="41"/>
      <c r="F437" s="100"/>
    </row>
    <row r="438" ht="12.75" customHeight="1">
      <c r="A438" s="100"/>
      <c r="B438" s="93"/>
      <c r="C438" s="93"/>
      <c r="D438" s="100"/>
      <c r="E438" s="41"/>
      <c r="F438" s="100"/>
    </row>
    <row r="439" ht="12.75" customHeight="1">
      <c r="A439" s="100"/>
      <c r="B439" s="93"/>
      <c r="C439" s="93"/>
      <c r="D439" s="100"/>
      <c r="E439" s="41"/>
      <c r="F439" s="100"/>
    </row>
    <row r="440" ht="12.75" customHeight="1">
      <c r="A440" s="100"/>
      <c r="B440" s="93"/>
      <c r="C440" s="93"/>
      <c r="D440" s="100"/>
      <c r="E440" s="41"/>
      <c r="F440" s="100"/>
    </row>
    <row r="441" ht="12.75" customHeight="1">
      <c r="A441" s="100"/>
      <c r="B441" s="93"/>
      <c r="C441" s="93"/>
      <c r="D441" s="100"/>
      <c r="E441" s="41"/>
      <c r="F441" s="100"/>
    </row>
    <row r="442" ht="12.75" customHeight="1">
      <c r="A442" s="100"/>
      <c r="B442" s="93"/>
      <c r="C442" s="93"/>
      <c r="D442" s="100"/>
      <c r="E442" s="41"/>
      <c r="F442" s="100"/>
    </row>
    <row r="443" ht="12.75" customHeight="1">
      <c r="A443" s="100"/>
      <c r="B443" s="93"/>
      <c r="C443" s="93"/>
      <c r="D443" s="100"/>
      <c r="E443" s="41"/>
      <c r="F443" s="100"/>
    </row>
    <row r="444" ht="12.75" customHeight="1">
      <c r="A444" s="100"/>
      <c r="B444" s="93"/>
      <c r="C444" s="93"/>
      <c r="D444" s="100"/>
      <c r="E444" s="41"/>
      <c r="F444" s="100"/>
    </row>
    <row r="445" ht="12.75" customHeight="1">
      <c r="A445" s="100"/>
      <c r="B445" s="93"/>
      <c r="C445" s="93"/>
      <c r="D445" s="100"/>
      <c r="E445" s="41"/>
      <c r="F445" s="100"/>
    </row>
    <row r="446" ht="12.75" customHeight="1">
      <c r="A446" s="100"/>
      <c r="B446" s="93"/>
      <c r="C446" s="93"/>
      <c r="D446" s="100"/>
      <c r="E446" s="41"/>
      <c r="F446" s="100"/>
    </row>
    <row r="447" ht="12.75" customHeight="1">
      <c r="A447" s="100"/>
      <c r="B447" s="93"/>
      <c r="C447" s="93"/>
      <c r="D447" s="100"/>
      <c r="E447" s="41"/>
      <c r="F447" s="100"/>
    </row>
    <row r="448" ht="12.75" customHeight="1">
      <c r="A448" s="100"/>
      <c r="B448" s="93"/>
      <c r="C448" s="93"/>
      <c r="D448" s="100"/>
      <c r="E448" s="41"/>
      <c r="F448" s="100"/>
    </row>
    <row r="449" ht="12.75" customHeight="1">
      <c r="A449" s="100"/>
      <c r="B449" s="93"/>
      <c r="C449" s="93"/>
      <c r="D449" s="100"/>
      <c r="E449" s="41"/>
      <c r="F449" s="100"/>
    </row>
    <row r="450" ht="12.75" customHeight="1">
      <c r="A450" s="100"/>
      <c r="B450" s="93"/>
      <c r="C450" s="93"/>
      <c r="D450" s="100"/>
      <c r="E450" s="41"/>
      <c r="F450" s="100"/>
    </row>
    <row r="451" ht="12.75" customHeight="1">
      <c r="A451" s="100"/>
      <c r="B451" s="93"/>
      <c r="C451" s="93"/>
      <c r="D451" s="100"/>
      <c r="E451" s="41"/>
      <c r="F451" s="100"/>
    </row>
    <row r="452" ht="12.75" customHeight="1">
      <c r="A452" s="100"/>
      <c r="B452" s="93"/>
      <c r="C452" s="93"/>
      <c r="D452" s="100"/>
      <c r="E452" s="41"/>
      <c r="F452" s="100"/>
    </row>
    <row r="453" ht="12.75" customHeight="1">
      <c r="A453" s="100"/>
      <c r="B453" s="93"/>
      <c r="C453" s="93"/>
      <c r="D453" s="100"/>
      <c r="E453" s="41"/>
      <c r="F453" s="100"/>
    </row>
    <row r="454" ht="12.75" customHeight="1">
      <c r="A454" s="100"/>
      <c r="B454" s="93"/>
      <c r="C454" s="93"/>
      <c r="D454" s="100"/>
      <c r="E454" s="41"/>
      <c r="F454" s="100"/>
    </row>
    <row r="455" ht="12.75" customHeight="1">
      <c r="A455" s="100"/>
      <c r="B455" s="93"/>
      <c r="C455" s="93"/>
      <c r="D455" s="100"/>
      <c r="E455" s="41"/>
      <c r="F455" s="100"/>
    </row>
    <row r="456" ht="12.75" customHeight="1">
      <c r="A456" s="100"/>
      <c r="B456" s="93"/>
      <c r="C456" s="93"/>
      <c r="D456" s="100"/>
      <c r="E456" s="41"/>
      <c r="F456" s="100"/>
    </row>
    <row r="457" ht="12.75" customHeight="1">
      <c r="A457" s="100"/>
      <c r="B457" s="93"/>
      <c r="C457" s="93"/>
      <c r="D457" s="100"/>
      <c r="E457" s="41"/>
      <c r="F457" s="100"/>
    </row>
    <row r="458" ht="12.75" customHeight="1">
      <c r="A458" s="100"/>
      <c r="B458" s="93"/>
      <c r="C458" s="93"/>
      <c r="D458" s="100"/>
      <c r="E458" s="41"/>
      <c r="F458" s="100"/>
    </row>
    <row r="459" ht="12.75" customHeight="1">
      <c r="A459" s="100"/>
      <c r="B459" s="93"/>
      <c r="C459" s="93"/>
      <c r="D459" s="100"/>
      <c r="E459" s="41"/>
      <c r="F459" s="100"/>
    </row>
    <row r="460" ht="12.75" customHeight="1">
      <c r="A460" s="100"/>
      <c r="B460" s="93"/>
      <c r="C460" s="93"/>
      <c r="D460" s="100"/>
      <c r="E460" s="41"/>
      <c r="F460" s="100"/>
    </row>
    <row r="461" ht="12.75" customHeight="1">
      <c r="A461" s="100"/>
      <c r="B461" s="93"/>
      <c r="C461" s="93"/>
      <c r="D461" s="100"/>
      <c r="E461" s="41"/>
      <c r="F461" s="100"/>
    </row>
    <row r="462" ht="12.75" customHeight="1">
      <c r="A462" s="100"/>
      <c r="B462" s="93"/>
      <c r="C462" s="93"/>
      <c r="D462" s="100"/>
      <c r="E462" s="41"/>
      <c r="F462" s="100"/>
    </row>
    <row r="463" ht="12.75" customHeight="1">
      <c r="A463" s="100"/>
      <c r="B463" s="93"/>
      <c r="C463" s="93"/>
      <c r="D463" s="100"/>
      <c r="E463" s="41"/>
      <c r="F463" s="100"/>
    </row>
    <row r="464" ht="12.75" customHeight="1">
      <c r="A464" s="100"/>
      <c r="B464" s="93"/>
      <c r="C464" s="93"/>
      <c r="D464" s="100"/>
      <c r="E464" s="41"/>
      <c r="F464" s="100"/>
    </row>
    <row r="465" ht="12.75" customHeight="1">
      <c r="A465" s="100"/>
      <c r="B465" s="93"/>
      <c r="C465" s="93"/>
      <c r="D465" s="100"/>
      <c r="E465" s="41"/>
      <c r="F465" s="100"/>
    </row>
    <row r="466" ht="12.75" customHeight="1">
      <c r="A466" s="100"/>
      <c r="B466" s="93"/>
      <c r="C466" s="93"/>
      <c r="D466" s="100"/>
      <c r="E466" s="41"/>
      <c r="F466" s="100"/>
    </row>
    <row r="467" ht="12.75" customHeight="1">
      <c r="A467" s="100"/>
      <c r="B467" s="93"/>
      <c r="C467" s="93"/>
      <c r="D467" s="100"/>
      <c r="E467" s="41"/>
      <c r="F467" s="100"/>
    </row>
    <row r="468" ht="12.75" customHeight="1">
      <c r="A468" s="100"/>
      <c r="B468" s="93"/>
      <c r="C468" s="93"/>
      <c r="D468" s="100"/>
      <c r="E468" s="41"/>
      <c r="F468" s="100"/>
    </row>
    <row r="469" ht="12.75" customHeight="1">
      <c r="A469" s="100"/>
      <c r="B469" s="93"/>
      <c r="C469" s="93"/>
      <c r="D469" s="100"/>
      <c r="E469" s="41"/>
      <c r="F469" s="100"/>
    </row>
    <row r="470" ht="12.75" customHeight="1">
      <c r="A470" s="100"/>
      <c r="B470" s="93"/>
      <c r="C470" s="93"/>
      <c r="D470" s="100"/>
      <c r="E470" s="41"/>
      <c r="F470" s="100"/>
    </row>
    <row r="471" ht="12.75" customHeight="1">
      <c r="A471" s="100"/>
      <c r="B471" s="93"/>
      <c r="C471" s="93"/>
      <c r="D471" s="100"/>
      <c r="E471" s="41"/>
      <c r="F471" s="100"/>
    </row>
    <row r="472" ht="12.75" customHeight="1">
      <c r="A472" s="100"/>
      <c r="B472" s="93"/>
      <c r="C472" s="93"/>
      <c r="D472" s="100"/>
      <c r="E472" s="41"/>
      <c r="F472" s="100"/>
    </row>
    <row r="473" ht="12.75" customHeight="1">
      <c r="A473" s="100"/>
      <c r="B473" s="93"/>
      <c r="C473" s="93"/>
      <c r="D473" s="100"/>
      <c r="E473" s="41"/>
      <c r="F473" s="100"/>
    </row>
    <row r="474" ht="12.75" customHeight="1">
      <c r="A474" s="100"/>
      <c r="B474" s="93"/>
      <c r="C474" s="93"/>
      <c r="D474" s="100"/>
      <c r="E474" s="41"/>
      <c r="F474" s="100"/>
    </row>
    <row r="475" ht="12.75" customHeight="1">
      <c r="A475" s="100"/>
      <c r="B475" s="93"/>
      <c r="C475" s="93"/>
      <c r="D475" s="100"/>
      <c r="E475" s="41"/>
      <c r="F475" s="100"/>
    </row>
    <row r="476" ht="12.75" customHeight="1">
      <c r="A476" s="100"/>
      <c r="B476" s="93"/>
      <c r="C476" s="93"/>
      <c r="D476" s="100"/>
      <c r="E476" s="41"/>
      <c r="F476" s="100"/>
    </row>
    <row r="477" ht="12.75" customHeight="1">
      <c r="A477" s="100"/>
      <c r="B477" s="93"/>
      <c r="C477" s="93"/>
      <c r="D477" s="100"/>
      <c r="E477" s="41"/>
      <c r="F477" s="100"/>
    </row>
    <row r="478" ht="12.75" customHeight="1">
      <c r="A478" s="100"/>
      <c r="B478" s="93"/>
      <c r="C478" s="93"/>
      <c r="D478" s="100"/>
      <c r="E478" s="41"/>
      <c r="F478" s="100"/>
    </row>
    <row r="479" ht="12.75" customHeight="1">
      <c r="A479" s="100"/>
      <c r="B479" s="93"/>
      <c r="C479" s="93"/>
      <c r="D479" s="100"/>
      <c r="E479" s="41"/>
      <c r="F479" s="100"/>
    </row>
    <row r="480" ht="12.75" customHeight="1">
      <c r="A480" s="100"/>
      <c r="B480" s="93"/>
      <c r="C480" s="93"/>
      <c r="D480" s="100"/>
      <c r="E480" s="41"/>
      <c r="F480" s="100"/>
    </row>
    <row r="481" ht="12.75" customHeight="1">
      <c r="A481" s="100"/>
      <c r="B481" s="93"/>
      <c r="C481" s="93"/>
      <c r="D481" s="100"/>
      <c r="E481" s="41"/>
      <c r="F481" s="100"/>
    </row>
    <row r="482" ht="12.75" customHeight="1">
      <c r="A482" s="100"/>
      <c r="B482" s="93"/>
      <c r="C482" s="93"/>
      <c r="D482" s="100"/>
      <c r="E482" s="41"/>
      <c r="F482" s="100"/>
    </row>
    <row r="483" ht="12.75" customHeight="1">
      <c r="A483" s="100"/>
      <c r="B483" s="93"/>
      <c r="C483" s="93"/>
      <c r="D483" s="100"/>
      <c r="E483" s="41"/>
      <c r="F483" s="100"/>
    </row>
    <row r="484" ht="12.75" customHeight="1">
      <c r="A484" s="100"/>
      <c r="B484" s="93"/>
      <c r="C484" s="93"/>
      <c r="D484" s="100"/>
      <c r="E484" s="41"/>
      <c r="F484" s="100"/>
    </row>
    <row r="485" ht="12.75" customHeight="1">
      <c r="A485" s="100"/>
      <c r="B485" s="93"/>
      <c r="C485" s="93"/>
      <c r="D485" s="100"/>
      <c r="E485" s="41"/>
      <c r="F485" s="100"/>
    </row>
    <row r="486" ht="12.75" customHeight="1">
      <c r="A486" s="100"/>
      <c r="B486" s="93"/>
      <c r="C486" s="93"/>
      <c r="D486" s="100"/>
      <c r="E486" s="41"/>
      <c r="F486" s="100"/>
    </row>
    <row r="487" ht="12.75" customHeight="1">
      <c r="A487" s="100"/>
      <c r="B487" s="93"/>
      <c r="C487" s="93"/>
      <c r="D487" s="100"/>
      <c r="E487" s="41"/>
      <c r="F487" s="100"/>
    </row>
    <row r="488" ht="12.75" customHeight="1">
      <c r="A488" s="100"/>
      <c r="B488" s="93"/>
      <c r="C488" s="93"/>
      <c r="D488" s="100"/>
      <c r="E488" s="41"/>
      <c r="F488" s="100"/>
    </row>
    <row r="489" ht="12.75" customHeight="1">
      <c r="A489" s="100"/>
      <c r="B489" s="93"/>
      <c r="C489" s="93"/>
      <c r="D489" s="100"/>
      <c r="E489" s="41"/>
      <c r="F489" s="100"/>
    </row>
    <row r="490" ht="12.75" customHeight="1">
      <c r="A490" s="100"/>
      <c r="B490" s="93"/>
      <c r="C490" s="93"/>
      <c r="D490" s="100"/>
      <c r="E490" s="41"/>
      <c r="F490" s="100"/>
    </row>
    <row r="491" ht="12.75" customHeight="1">
      <c r="A491" s="100"/>
      <c r="B491" s="93"/>
      <c r="C491" s="93"/>
      <c r="D491" s="100"/>
      <c r="E491" s="41"/>
      <c r="F491" s="100"/>
    </row>
    <row r="492" ht="12.75" customHeight="1">
      <c r="A492" s="100"/>
      <c r="B492" s="93"/>
      <c r="C492" s="93"/>
      <c r="D492" s="100"/>
      <c r="E492" s="41"/>
      <c r="F492" s="100"/>
    </row>
    <row r="493" ht="12.75" customHeight="1">
      <c r="A493" s="100"/>
      <c r="B493" s="93"/>
      <c r="C493" s="93"/>
      <c r="D493" s="100"/>
      <c r="E493" s="41"/>
      <c r="F493" s="100"/>
    </row>
    <row r="494" ht="12.75" customHeight="1">
      <c r="A494" s="100"/>
      <c r="B494" s="93"/>
      <c r="C494" s="93"/>
      <c r="D494" s="100"/>
      <c r="E494" s="41"/>
      <c r="F494" s="100"/>
    </row>
    <row r="495" ht="12.75" customHeight="1">
      <c r="A495" s="100"/>
      <c r="B495" s="93"/>
      <c r="C495" s="93"/>
      <c r="D495" s="100"/>
      <c r="E495" s="41"/>
      <c r="F495" s="100"/>
    </row>
    <row r="496" ht="12.75" customHeight="1">
      <c r="A496" s="100"/>
      <c r="B496" s="93"/>
      <c r="C496" s="93"/>
      <c r="D496" s="100"/>
      <c r="E496" s="41"/>
      <c r="F496" s="100"/>
    </row>
    <row r="497" ht="12.75" customHeight="1">
      <c r="A497" s="100"/>
      <c r="B497" s="93"/>
      <c r="C497" s="93"/>
      <c r="D497" s="100"/>
      <c r="E497" s="41"/>
      <c r="F497" s="100"/>
    </row>
    <row r="498" ht="12.75" customHeight="1">
      <c r="A498" s="100"/>
      <c r="B498" s="93"/>
      <c r="C498" s="93"/>
      <c r="D498" s="100"/>
      <c r="E498" s="41"/>
      <c r="F498" s="100"/>
    </row>
    <row r="499" ht="12.75" customHeight="1">
      <c r="A499" s="100"/>
      <c r="B499" s="93"/>
      <c r="C499" s="93"/>
      <c r="D499" s="100"/>
      <c r="E499" s="41"/>
      <c r="F499" s="100"/>
    </row>
    <row r="500" ht="12.75" customHeight="1">
      <c r="A500" s="100"/>
      <c r="B500" s="93"/>
      <c r="C500" s="93"/>
      <c r="D500" s="100"/>
      <c r="E500" s="41"/>
      <c r="F500" s="100"/>
    </row>
    <row r="501" ht="12.75" customHeight="1">
      <c r="A501" s="100"/>
      <c r="B501" s="93"/>
      <c r="C501" s="93"/>
      <c r="D501" s="100"/>
      <c r="E501" s="41"/>
      <c r="F501" s="100"/>
    </row>
    <row r="502" ht="12.75" customHeight="1">
      <c r="A502" s="100"/>
      <c r="B502" s="93"/>
      <c r="C502" s="93"/>
      <c r="D502" s="100"/>
      <c r="E502" s="41"/>
      <c r="F502" s="100"/>
    </row>
    <row r="503" ht="12.75" customHeight="1">
      <c r="A503" s="100"/>
      <c r="B503" s="93"/>
      <c r="C503" s="93"/>
      <c r="D503" s="100"/>
      <c r="E503" s="41"/>
      <c r="F503" s="100"/>
    </row>
    <row r="504" ht="12.75" customHeight="1">
      <c r="A504" s="100"/>
      <c r="B504" s="93"/>
      <c r="C504" s="93"/>
      <c r="D504" s="100"/>
      <c r="E504" s="41"/>
      <c r="F504" s="100"/>
    </row>
    <row r="505" ht="12.75" customHeight="1">
      <c r="A505" s="100"/>
      <c r="B505" s="93"/>
      <c r="C505" s="93"/>
      <c r="D505" s="100"/>
      <c r="E505" s="41"/>
      <c r="F505" s="100"/>
    </row>
    <row r="506" ht="12.75" customHeight="1">
      <c r="A506" s="100"/>
      <c r="B506" s="93"/>
      <c r="C506" s="93"/>
      <c r="D506" s="100"/>
      <c r="E506" s="41"/>
      <c r="F506" s="100"/>
    </row>
    <row r="507" ht="12.75" customHeight="1">
      <c r="A507" s="100"/>
      <c r="B507" s="93"/>
      <c r="C507" s="93"/>
      <c r="D507" s="100"/>
      <c r="E507" s="41"/>
      <c r="F507" s="100"/>
    </row>
    <row r="508" ht="12.75" customHeight="1">
      <c r="A508" s="100"/>
      <c r="B508" s="93"/>
      <c r="C508" s="93"/>
      <c r="D508" s="100"/>
      <c r="E508" s="41"/>
      <c r="F508" s="100"/>
    </row>
    <row r="509" ht="12.75" customHeight="1">
      <c r="A509" s="100"/>
      <c r="B509" s="93"/>
      <c r="C509" s="93"/>
      <c r="D509" s="100"/>
      <c r="E509" s="41"/>
      <c r="F509" s="100"/>
    </row>
    <row r="510" ht="12.75" customHeight="1">
      <c r="A510" s="100"/>
      <c r="B510" s="93"/>
      <c r="C510" s="93"/>
      <c r="D510" s="100"/>
      <c r="E510" s="41"/>
      <c r="F510" s="100"/>
    </row>
    <row r="511" ht="12.75" customHeight="1">
      <c r="A511" s="100"/>
      <c r="B511" s="93"/>
      <c r="C511" s="93"/>
      <c r="D511" s="100"/>
      <c r="E511" s="41"/>
      <c r="F511" s="100"/>
    </row>
    <row r="512" ht="12.75" customHeight="1">
      <c r="A512" s="100"/>
      <c r="B512" s="93"/>
      <c r="C512" s="93"/>
      <c r="D512" s="100"/>
      <c r="E512" s="41"/>
      <c r="F512" s="100"/>
    </row>
    <row r="513" ht="12.75" customHeight="1">
      <c r="A513" s="100"/>
      <c r="B513" s="93"/>
      <c r="C513" s="93"/>
      <c r="D513" s="100"/>
      <c r="E513" s="41"/>
      <c r="F513" s="100"/>
    </row>
    <row r="514" ht="12.75" customHeight="1">
      <c r="A514" s="100"/>
      <c r="B514" s="93"/>
      <c r="C514" s="93"/>
      <c r="D514" s="100"/>
      <c r="E514" s="41"/>
      <c r="F514" s="100"/>
    </row>
    <row r="515" ht="12.75" customHeight="1">
      <c r="A515" s="100"/>
      <c r="B515" s="93"/>
      <c r="C515" s="93"/>
      <c r="D515" s="100"/>
      <c r="E515" s="41"/>
      <c r="F515" s="100"/>
    </row>
    <row r="516" ht="12.75" customHeight="1">
      <c r="A516" s="100"/>
      <c r="B516" s="93"/>
      <c r="C516" s="93"/>
      <c r="D516" s="100"/>
      <c r="E516" s="41"/>
      <c r="F516" s="100"/>
    </row>
    <row r="517" ht="12.75" customHeight="1">
      <c r="A517" s="100"/>
      <c r="B517" s="93"/>
      <c r="C517" s="93"/>
      <c r="D517" s="100"/>
      <c r="E517" s="41"/>
      <c r="F517" s="100"/>
    </row>
    <row r="518" ht="12.75" customHeight="1">
      <c r="A518" s="100"/>
      <c r="B518" s="93"/>
      <c r="C518" s="93"/>
      <c r="D518" s="100"/>
      <c r="E518" s="41"/>
      <c r="F518" s="100"/>
    </row>
    <row r="519" ht="12.75" customHeight="1">
      <c r="A519" s="100"/>
      <c r="B519" s="93"/>
      <c r="C519" s="93"/>
      <c r="D519" s="100"/>
      <c r="E519" s="41"/>
      <c r="F519" s="100"/>
    </row>
    <row r="520" ht="12.75" customHeight="1">
      <c r="A520" s="100"/>
      <c r="B520" s="93"/>
      <c r="C520" s="93"/>
      <c r="D520" s="100"/>
      <c r="E520" s="41"/>
      <c r="F520" s="100"/>
    </row>
    <row r="521" ht="12.75" customHeight="1">
      <c r="A521" s="100"/>
      <c r="B521" s="93"/>
      <c r="C521" s="93"/>
      <c r="D521" s="100"/>
      <c r="E521" s="41"/>
      <c r="F521" s="100"/>
    </row>
    <row r="522" ht="12.75" customHeight="1">
      <c r="A522" s="100"/>
      <c r="B522" s="93"/>
      <c r="C522" s="93"/>
      <c r="D522" s="100"/>
      <c r="E522" s="41"/>
      <c r="F522" s="100"/>
    </row>
    <row r="523" ht="12.75" customHeight="1">
      <c r="A523" s="100"/>
      <c r="B523" s="93"/>
      <c r="C523" s="93"/>
      <c r="D523" s="100"/>
      <c r="E523" s="41"/>
      <c r="F523" s="100"/>
    </row>
    <row r="524" ht="12.75" customHeight="1">
      <c r="A524" s="100"/>
      <c r="B524" s="93"/>
      <c r="C524" s="93"/>
      <c r="D524" s="100"/>
      <c r="E524" s="41"/>
      <c r="F524" s="100"/>
    </row>
    <row r="525" ht="12.75" customHeight="1">
      <c r="A525" s="100"/>
      <c r="B525" s="93"/>
      <c r="C525" s="93"/>
      <c r="D525" s="100"/>
      <c r="E525" s="41"/>
      <c r="F525" s="100"/>
    </row>
    <row r="526" ht="12.75" customHeight="1">
      <c r="A526" s="100"/>
      <c r="B526" s="93"/>
      <c r="C526" s="93"/>
      <c r="D526" s="100"/>
      <c r="E526" s="41"/>
      <c r="F526" s="100"/>
    </row>
    <row r="527" ht="12.75" customHeight="1">
      <c r="A527" s="100"/>
      <c r="B527" s="93"/>
      <c r="C527" s="93"/>
      <c r="D527" s="100"/>
      <c r="E527" s="41"/>
      <c r="F527" s="100"/>
    </row>
    <row r="528" ht="12.75" customHeight="1">
      <c r="A528" s="100"/>
      <c r="B528" s="93"/>
      <c r="C528" s="93"/>
      <c r="D528" s="100"/>
      <c r="E528" s="41"/>
      <c r="F528" s="100"/>
    </row>
    <row r="529" ht="12.75" customHeight="1">
      <c r="A529" s="100"/>
      <c r="B529" s="93"/>
      <c r="C529" s="93"/>
      <c r="D529" s="100"/>
      <c r="E529" s="41"/>
      <c r="F529" s="100"/>
    </row>
    <row r="530" ht="12.75" customHeight="1">
      <c r="A530" s="100"/>
      <c r="B530" s="93"/>
      <c r="C530" s="93"/>
      <c r="D530" s="100"/>
      <c r="E530" s="41"/>
      <c r="F530" s="100"/>
    </row>
    <row r="531" ht="12.75" customHeight="1">
      <c r="A531" s="100"/>
      <c r="B531" s="93"/>
      <c r="C531" s="93"/>
      <c r="D531" s="100"/>
      <c r="E531" s="41"/>
      <c r="F531" s="100"/>
    </row>
    <row r="532" ht="12.75" customHeight="1">
      <c r="A532" s="100"/>
      <c r="B532" s="93"/>
      <c r="C532" s="93"/>
      <c r="D532" s="100"/>
      <c r="E532" s="41"/>
      <c r="F532" s="100"/>
    </row>
    <row r="533" ht="12.75" customHeight="1">
      <c r="A533" s="100"/>
      <c r="B533" s="93"/>
      <c r="C533" s="93"/>
      <c r="D533" s="100"/>
      <c r="E533" s="41"/>
      <c r="F533" s="100"/>
    </row>
    <row r="534" ht="12.75" customHeight="1">
      <c r="A534" s="100"/>
      <c r="B534" s="93"/>
      <c r="C534" s="93"/>
      <c r="D534" s="100"/>
      <c r="E534" s="41"/>
      <c r="F534" s="100"/>
    </row>
    <row r="535" ht="12.75" customHeight="1">
      <c r="A535" s="100"/>
      <c r="B535" s="93"/>
      <c r="C535" s="93"/>
      <c r="D535" s="100"/>
      <c r="E535" s="41"/>
      <c r="F535" s="100"/>
    </row>
    <row r="536" ht="12.75" customHeight="1">
      <c r="A536" s="100"/>
      <c r="B536" s="93"/>
      <c r="C536" s="93"/>
      <c r="D536" s="100"/>
      <c r="E536" s="41"/>
      <c r="F536" s="100"/>
    </row>
    <row r="537" ht="12.75" customHeight="1">
      <c r="A537" s="100"/>
      <c r="B537" s="93"/>
      <c r="C537" s="93"/>
      <c r="D537" s="100"/>
      <c r="E537" s="41"/>
      <c r="F537" s="100"/>
    </row>
    <row r="538" ht="12.75" customHeight="1">
      <c r="A538" s="100"/>
      <c r="B538" s="93"/>
      <c r="C538" s="93"/>
      <c r="D538" s="100"/>
      <c r="E538" s="41"/>
      <c r="F538" s="100"/>
    </row>
    <row r="539" ht="12.75" customHeight="1">
      <c r="A539" s="100"/>
      <c r="B539" s="93"/>
      <c r="C539" s="93"/>
      <c r="D539" s="100"/>
      <c r="E539" s="41"/>
      <c r="F539" s="100"/>
    </row>
    <row r="540" ht="12.75" customHeight="1">
      <c r="A540" s="100"/>
      <c r="B540" s="93"/>
      <c r="C540" s="93"/>
      <c r="D540" s="100"/>
      <c r="E540" s="41"/>
      <c r="F540" s="100"/>
    </row>
    <row r="541" ht="12.75" customHeight="1">
      <c r="A541" s="100"/>
      <c r="B541" s="93"/>
      <c r="C541" s="93"/>
      <c r="D541" s="100"/>
      <c r="E541" s="41"/>
      <c r="F541" s="100"/>
    </row>
    <row r="542" ht="12.75" customHeight="1">
      <c r="A542" s="100"/>
      <c r="B542" s="93"/>
      <c r="C542" s="93"/>
      <c r="D542" s="100"/>
      <c r="E542" s="41"/>
      <c r="F542" s="100"/>
    </row>
    <row r="543" ht="12.75" customHeight="1">
      <c r="A543" s="100"/>
      <c r="B543" s="93"/>
      <c r="C543" s="93"/>
      <c r="D543" s="100"/>
      <c r="E543" s="41"/>
      <c r="F543" s="100"/>
    </row>
    <row r="544" ht="12.75" customHeight="1">
      <c r="A544" s="100"/>
      <c r="B544" s="93"/>
      <c r="C544" s="93"/>
      <c r="D544" s="100"/>
      <c r="E544" s="41"/>
      <c r="F544" s="100"/>
    </row>
    <row r="545" ht="12.75" customHeight="1">
      <c r="A545" s="100"/>
      <c r="B545" s="93"/>
      <c r="C545" s="93"/>
      <c r="D545" s="100"/>
      <c r="E545" s="41"/>
      <c r="F545" s="100"/>
    </row>
    <row r="546" ht="12.75" customHeight="1">
      <c r="A546" s="100"/>
      <c r="B546" s="93"/>
      <c r="C546" s="93"/>
      <c r="D546" s="100"/>
      <c r="E546" s="41"/>
      <c r="F546" s="100"/>
    </row>
    <row r="547" ht="12.75" customHeight="1">
      <c r="A547" s="100"/>
      <c r="B547" s="93"/>
      <c r="C547" s="93"/>
      <c r="D547" s="100"/>
      <c r="E547" s="41"/>
      <c r="F547" s="100"/>
    </row>
    <row r="548" ht="12.75" customHeight="1">
      <c r="A548" s="100"/>
      <c r="B548" s="93"/>
      <c r="C548" s="93"/>
      <c r="D548" s="100"/>
      <c r="E548" s="41"/>
      <c r="F548" s="100"/>
    </row>
    <row r="549" ht="12.75" customHeight="1">
      <c r="A549" s="100"/>
      <c r="B549" s="93"/>
      <c r="C549" s="93"/>
      <c r="D549" s="100"/>
      <c r="E549" s="41"/>
      <c r="F549" s="100"/>
    </row>
    <row r="550" ht="12.75" customHeight="1">
      <c r="A550" s="100"/>
      <c r="B550" s="93"/>
      <c r="C550" s="93"/>
      <c r="D550" s="100"/>
      <c r="E550" s="41"/>
      <c r="F550" s="100"/>
    </row>
    <row r="551" ht="12.75" customHeight="1">
      <c r="A551" s="100"/>
      <c r="B551" s="93"/>
      <c r="C551" s="93"/>
      <c r="D551" s="100"/>
      <c r="E551" s="41"/>
      <c r="F551" s="100"/>
    </row>
    <row r="552" ht="12.75" customHeight="1">
      <c r="A552" s="100"/>
      <c r="B552" s="93"/>
      <c r="C552" s="93"/>
      <c r="D552" s="100"/>
      <c r="E552" s="41"/>
      <c r="F552" s="100"/>
    </row>
    <row r="553" ht="12.75" customHeight="1">
      <c r="A553" s="100"/>
      <c r="B553" s="93"/>
      <c r="C553" s="93"/>
      <c r="D553" s="100"/>
      <c r="E553" s="41"/>
      <c r="F553" s="100"/>
    </row>
    <row r="554" ht="12.75" customHeight="1">
      <c r="A554" s="100"/>
      <c r="B554" s="93"/>
      <c r="C554" s="93"/>
      <c r="D554" s="100"/>
      <c r="E554" s="41"/>
      <c r="F554" s="100"/>
    </row>
    <row r="555" ht="12.75" customHeight="1">
      <c r="A555" s="100"/>
      <c r="B555" s="93"/>
      <c r="C555" s="93"/>
      <c r="D555" s="100"/>
      <c r="E555" s="41"/>
      <c r="F555" s="100"/>
    </row>
    <row r="556" ht="12.75" customHeight="1">
      <c r="A556" s="100"/>
      <c r="B556" s="93"/>
      <c r="C556" s="93"/>
      <c r="D556" s="100"/>
      <c r="E556" s="41"/>
      <c r="F556" s="100"/>
    </row>
    <row r="557" ht="12.75" customHeight="1">
      <c r="A557" s="100"/>
      <c r="B557" s="93"/>
      <c r="C557" s="93"/>
      <c r="D557" s="100"/>
      <c r="E557" s="41"/>
      <c r="F557" s="100"/>
    </row>
    <row r="558" ht="12.75" customHeight="1">
      <c r="A558" s="100"/>
      <c r="B558" s="93"/>
      <c r="C558" s="93"/>
      <c r="D558" s="100"/>
      <c r="E558" s="41"/>
      <c r="F558" s="100"/>
    </row>
    <row r="559" ht="12.75" customHeight="1">
      <c r="A559" s="100"/>
      <c r="B559" s="93"/>
      <c r="C559" s="93"/>
      <c r="D559" s="100"/>
      <c r="E559" s="41"/>
      <c r="F559" s="100"/>
    </row>
    <row r="560" ht="12.75" customHeight="1">
      <c r="A560" s="100"/>
      <c r="B560" s="93"/>
      <c r="C560" s="93"/>
      <c r="D560" s="100"/>
      <c r="E560" s="41"/>
      <c r="F560" s="100"/>
    </row>
    <row r="561" ht="12.75" customHeight="1">
      <c r="A561" s="100"/>
      <c r="B561" s="93"/>
      <c r="C561" s="93"/>
      <c r="D561" s="100"/>
      <c r="E561" s="41"/>
      <c r="F561" s="100"/>
    </row>
    <row r="562" ht="12.75" customHeight="1">
      <c r="A562" s="100"/>
      <c r="B562" s="93"/>
      <c r="C562" s="93"/>
      <c r="D562" s="100"/>
      <c r="E562" s="41"/>
      <c r="F562" s="100"/>
    </row>
    <row r="563" ht="12.75" customHeight="1">
      <c r="A563" s="100"/>
      <c r="B563" s="93"/>
      <c r="C563" s="93"/>
      <c r="D563" s="100"/>
      <c r="E563" s="41"/>
      <c r="F563" s="100"/>
    </row>
    <row r="564" ht="12.75" customHeight="1">
      <c r="A564" s="100"/>
      <c r="B564" s="93"/>
      <c r="C564" s="93"/>
      <c r="D564" s="100"/>
      <c r="E564" s="41"/>
      <c r="F564" s="100"/>
    </row>
    <row r="565" ht="12.75" customHeight="1">
      <c r="A565" s="100"/>
      <c r="B565" s="93"/>
      <c r="C565" s="93"/>
      <c r="D565" s="100"/>
      <c r="E565" s="41"/>
      <c r="F565" s="100"/>
    </row>
    <row r="566" ht="12.75" customHeight="1">
      <c r="A566" s="100"/>
      <c r="B566" s="93"/>
      <c r="C566" s="93"/>
      <c r="D566" s="100"/>
      <c r="E566" s="41"/>
      <c r="F566" s="100"/>
    </row>
    <row r="567" ht="12.75" customHeight="1">
      <c r="A567" s="100"/>
      <c r="B567" s="93"/>
      <c r="C567" s="93"/>
      <c r="D567" s="100"/>
      <c r="E567" s="41"/>
      <c r="F567" s="100"/>
    </row>
    <row r="568" ht="12.75" customHeight="1">
      <c r="A568" s="100"/>
      <c r="B568" s="93"/>
      <c r="C568" s="93"/>
      <c r="D568" s="100"/>
      <c r="E568" s="41"/>
      <c r="F568" s="100"/>
    </row>
    <row r="569" ht="12.75" customHeight="1">
      <c r="A569" s="100"/>
      <c r="B569" s="93"/>
      <c r="C569" s="93"/>
      <c r="D569" s="100"/>
      <c r="E569" s="41"/>
      <c r="F569" s="100"/>
    </row>
    <row r="570" ht="12.75" customHeight="1">
      <c r="A570" s="100"/>
      <c r="B570" s="93"/>
      <c r="C570" s="93"/>
      <c r="D570" s="100"/>
      <c r="E570" s="41"/>
      <c r="F570" s="100"/>
    </row>
    <row r="571" ht="12.75" customHeight="1">
      <c r="A571" s="100"/>
      <c r="B571" s="93"/>
      <c r="C571" s="93"/>
      <c r="D571" s="100"/>
      <c r="E571" s="41"/>
      <c r="F571" s="100"/>
    </row>
    <row r="572" ht="12.75" customHeight="1">
      <c r="A572" s="100"/>
      <c r="B572" s="93"/>
      <c r="C572" s="93"/>
      <c r="D572" s="100"/>
      <c r="E572" s="41"/>
      <c r="F572" s="100"/>
    </row>
    <row r="573" ht="12.75" customHeight="1">
      <c r="A573" s="100"/>
      <c r="B573" s="93"/>
      <c r="C573" s="93"/>
      <c r="D573" s="100"/>
      <c r="E573" s="41"/>
      <c r="F573" s="100"/>
    </row>
    <row r="574" ht="12.75" customHeight="1">
      <c r="A574" s="100"/>
      <c r="B574" s="93"/>
      <c r="C574" s="93"/>
      <c r="D574" s="100"/>
      <c r="E574" s="41"/>
      <c r="F574" s="100"/>
    </row>
    <row r="575" ht="12.75" customHeight="1">
      <c r="A575" s="100"/>
      <c r="B575" s="93"/>
      <c r="C575" s="93"/>
      <c r="D575" s="100"/>
      <c r="E575" s="41"/>
      <c r="F575" s="100"/>
    </row>
    <row r="576" ht="12.75" customHeight="1">
      <c r="A576" s="100"/>
      <c r="B576" s="93"/>
      <c r="C576" s="93"/>
      <c r="D576" s="100"/>
      <c r="E576" s="41"/>
      <c r="F576" s="100"/>
    </row>
    <row r="577" ht="12.75" customHeight="1">
      <c r="A577" s="100"/>
      <c r="B577" s="93"/>
      <c r="C577" s="93"/>
      <c r="D577" s="100"/>
      <c r="E577" s="41"/>
      <c r="F577" s="100"/>
    </row>
    <row r="578" ht="12.75" customHeight="1">
      <c r="A578" s="100"/>
      <c r="B578" s="93"/>
      <c r="C578" s="93"/>
      <c r="D578" s="100"/>
      <c r="E578" s="41"/>
      <c r="F578" s="100"/>
    </row>
    <row r="579" ht="12.75" customHeight="1">
      <c r="A579" s="100"/>
      <c r="B579" s="93"/>
      <c r="C579" s="93"/>
      <c r="D579" s="100"/>
      <c r="E579" s="41"/>
      <c r="F579" s="100"/>
    </row>
    <row r="580" ht="12.75" customHeight="1">
      <c r="A580" s="100"/>
      <c r="B580" s="93"/>
      <c r="C580" s="93"/>
      <c r="D580" s="100"/>
      <c r="E580" s="41"/>
      <c r="F580" s="100"/>
    </row>
    <row r="581" ht="12.75" customHeight="1">
      <c r="A581" s="100"/>
      <c r="B581" s="93"/>
      <c r="C581" s="93"/>
      <c r="D581" s="100"/>
      <c r="E581" s="41"/>
      <c r="F581" s="100"/>
    </row>
    <row r="582" ht="12.75" customHeight="1">
      <c r="A582" s="100"/>
      <c r="B582" s="93"/>
      <c r="C582" s="93"/>
      <c r="D582" s="100"/>
      <c r="E582" s="41"/>
      <c r="F582" s="100"/>
    </row>
    <row r="583" ht="12.75" customHeight="1">
      <c r="A583" s="100"/>
      <c r="B583" s="93"/>
      <c r="C583" s="93"/>
      <c r="D583" s="100"/>
      <c r="E583" s="41"/>
      <c r="F583" s="100"/>
    </row>
    <row r="584" ht="12.75" customHeight="1">
      <c r="A584" s="100"/>
      <c r="B584" s="93"/>
      <c r="C584" s="93"/>
      <c r="D584" s="100"/>
      <c r="E584" s="41"/>
      <c r="F584" s="100"/>
    </row>
    <row r="585" ht="12.75" customHeight="1">
      <c r="A585" s="100"/>
      <c r="B585" s="93"/>
      <c r="C585" s="93"/>
      <c r="D585" s="100"/>
      <c r="E585" s="41"/>
      <c r="F585" s="100"/>
    </row>
    <row r="586" ht="12.75" customHeight="1">
      <c r="A586" s="100"/>
      <c r="B586" s="93"/>
      <c r="C586" s="93"/>
      <c r="D586" s="100"/>
      <c r="E586" s="41"/>
      <c r="F586" s="100"/>
    </row>
    <row r="587" ht="12.75" customHeight="1">
      <c r="A587" s="100"/>
      <c r="B587" s="93"/>
      <c r="C587" s="93"/>
      <c r="D587" s="100"/>
      <c r="E587" s="41"/>
      <c r="F587" s="100"/>
    </row>
    <row r="588" ht="12.75" customHeight="1">
      <c r="A588" s="100"/>
      <c r="B588" s="93"/>
      <c r="C588" s="93"/>
      <c r="D588" s="100"/>
      <c r="E588" s="41"/>
      <c r="F588" s="100"/>
    </row>
    <row r="589" ht="12.75" customHeight="1">
      <c r="A589" s="100"/>
      <c r="B589" s="93"/>
      <c r="C589" s="93"/>
      <c r="D589" s="100"/>
      <c r="E589" s="41"/>
      <c r="F589" s="100"/>
    </row>
    <row r="590" ht="12.75" customHeight="1">
      <c r="A590" s="100"/>
      <c r="B590" s="93"/>
      <c r="C590" s="93"/>
      <c r="D590" s="100"/>
      <c r="E590" s="41"/>
      <c r="F590" s="100"/>
    </row>
    <row r="591" ht="12.75" customHeight="1">
      <c r="A591" s="100"/>
      <c r="B591" s="93"/>
      <c r="C591" s="93"/>
      <c r="D591" s="100"/>
      <c r="E591" s="41"/>
      <c r="F591" s="100"/>
    </row>
    <row r="592" ht="12.75" customHeight="1">
      <c r="A592" s="100"/>
      <c r="B592" s="93"/>
      <c r="C592" s="93"/>
      <c r="D592" s="100"/>
      <c r="E592" s="41"/>
      <c r="F592" s="100"/>
    </row>
    <row r="593" ht="12.75" customHeight="1">
      <c r="A593" s="100"/>
      <c r="B593" s="93"/>
      <c r="C593" s="93"/>
      <c r="D593" s="100"/>
      <c r="E593" s="41"/>
      <c r="F593" s="100"/>
    </row>
    <row r="594" ht="12.75" customHeight="1">
      <c r="A594" s="100"/>
      <c r="B594" s="93"/>
      <c r="C594" s="93"/>
      <c r="D594" s="100"/>
      <c r="E594" s="41"/>
      <c r="F594" s="100"/>
    </row>
    <row r="595" ht="12.75" customHeight="1">
      <c r="A595" s="100"/>
      <c r="B595" s="93"/>
      <c r="C595" s="93"/>
      <c r="D595" s="100"/>
      <c r="E595" s="41"/>
      <c r="F595" s="100"/>
    </row>
    <row r="596" ht="12.75" customHeight="1">
      <c r="A596" s="100"/>
      <c r="B596" s="93"/>
      <c r="C596" s="93"/>
      <c r="D596" s="100"/>
      <c r="E596" s="41"/>
      <c r="F596" s="100"/>
    </row>
    <row r="597" ht="12.75" customHeight="1">
      <c r="A597" s="100"/>
      <c r="B597" s="93"/>
      <c r="C597" s="93"/>
      <c r="D597" s="100"/>
      <c r="E597" s="41"/>
      <c r="F597" s="100"/>
    </row>
    <row r="598" ht="12.75" customHeight="1">
      <c r="A598" s="100"/>
      <c r="B598" s="93"/>
      <c r="C598" s="93"/>
      <c r="D598" s="100"/>
      <c r="E598" s="41"/>
      <c r="F598" s="100"/>
    </row>
    <row r="599" ht="12.75" customHeight="1">
      <c r="A599" s="100"/>
      <c r="B599" s="93"/>
      <c r="C599" s="93"/>
      <c r="D599" s="100"/>
      <c r="E599" s="41"/>
      <c r="F599" s="100"/>
    </row>
    <row r="600" ht="12.75" customHeight="1">
      <c r="A600" s="100"/>
      <c r="B600" s="93"/>
      <c r="C600" s="93"/>
      <c r="D600" s="100"/>
      <c r="E600" s="41"/>
      <c r="F600" s="100"/>
    </row>
    <row r="601" ht="12.75" customHeight="1">
      <c r="A601" s="100"/>
      <c r="B601" s="93"/>
      <c r="C601" s="93"/>
      <c r="D601" s="100"/>
      <c r="E601" s="41"/>
      <c r="F601" s="100"/>
    </row>
    <row r="602" ht="12.75" customHeight="1">
      <c r="A602" s="100"/>
      <c r="B602" s="93"/>
      <c r="C602" s="93"/>
      <c r="D602" s="100"/>
      <c r="E602" s="41"/>
      <c r="F602" s="100"/>
    </row>
    <row r="603" ht="12.75" customHeight="1">
      <c r="A603" s="100"/>
      <c r="B603" s="93"/>
      <c r="C603" s="93"/>
      <c r="D603" s="100"/>
      <c r="E603" s="41"/>
      <c r="F603" s="100"/>
    </row>
    <row r="604" ht="12.75" customHeight="1">
      <c r="A604" s="100"/>
      <c r="B604" s="93"/>
      <c r="C604" s="93"/>
      <c r="D604" s="100"/>
      <c r="E604" s="41"/>
      <c r="F604" s="100"/>
    </row>
    <row r="605" ht="12.75" customHeight="1">
      <c r="A605" s="100"/>
      <c r="B605" s="93"/>
      <c r="C605" s="93"/>
      <c r="D605" s="100"/>
      <c r="E605" s="41"/>
      <c r="F605" s="100"/>
    </row>
    <row r="606" ht="12.75" customHeight="1">
      <c r="A606" s="100"/>
      <c r="B606" s="93"/>
      <c r="C606" s="93"/>
      <c r="D606" s="100"/>
      <c r="E606" s="41"/>
      <c r="F606" s="100"/>
    </row>
    <row r="607" ht="12.75" customHeight="1">
      <c r="A607" s="100"/>
      <c r="B607" s="93"/>
      <c r="C607" s="93"/>
      <c r="D607" s="100"/>
      <c r="E607" s="41"/>
      <c r="F607" s="100"/>
    </row>
    <row r="608" ht="12.75" customHeight="1">
      <c r="A608" s="100"/>
      <c r="B608" s="93"/>
      <c r="C608" s="93"/>
      <c r="D608" s="100"/>
      <c r="E608" s="41"/>
      <c r="F608" s="100"/>
    </row>
    <row r="609" ht="12.75" customHeight="1">
      <c r="A609" s="100"/>
      <c r="B609" s="93"/>
      <c r="C609" s="93"/>
      <c r="D609" s="100"/>
      <c r="E609" s="41"/>
      <c r="F609" s="100"/>
    </row>
    <row r="610" ht="12.75" customHeight="1">
      <c r="A610" s="100"/>
      <c r="B610" s="93"/>
      <c r="C610" s="93"/>
      <c r="D610" s="100"/>
      <c r="E610" s="41"/>
      <c r="F610" s="100"/>
    </row>
    <row r="611" ht="12.75" customHeight="1">
      <c r="A611" s="100"/>
      <c r="B611" s="93"/>
      <c r="C611" s="93"/>
      <c r="D611" s="100"/>
      <c r="E611" s="41"/>
      <c r="F611" s="100"/>
    </row>
    <row r="612" ht="12.75" customHeight="1">
      <c r="A612" s="100"/>
      <c r="B612" s="93"/>
      <c r="C612" s="93"/>
      <c r="D612" s="100"/>
      <c r="E612" s="41"/>
      <c r="F612" s="100"/>
    </row>
    <row r="613" ht="12.75" customHeight="1">
      <c r="A613" s="100"/>
      <c r="B613" s="93"/>
      <c r="C613" s="93"/>
      <c r="D613" s="100"/>
      <c r="E613" s="41"/>
      <c r="F613" s="100"/>
    </row>
    <row r="614" ht="12.75" customHeight="1">
      <c r="A614" s="100"/>
      <c r="B614" s="93"/>
      <c r="C614" s="93"/>
      <c r="D614" s="100"/>
      <c r="E614" s="41"/>
      <c r="F614" s="100"/>
    </row>
    <row r="615" ht="12.75" customHeight="1">
      <c r="A615" s="100"/>
      <c r="B615" s="93"/>
      <c r="C615" s="93"/>
      <c r="D615" s="100"/>
      <c r="E615" s="41"/>
      <c r="F615" s="100"/>
    </row>
    <row r="616" ht="12.75" customHeight="1">
      <c r="A616" s="100"/>
      <c r="B616" s="93"/>
      <c r="C616" s="93"/>
      <c r="D616" s="100"/>
      <c r="E616" s="41"/>
      <c r="F616" s="100"/>
    </row>
    <row r="617" ht="12.75" customHeight="1">
      <c r="A617" s="100"/>
      <c r="B617" s="93"/>
      <c r="C617" s="93"/>
      <c r="D617" s="100"/>
      <c r="E617" s="41"/>
      <c r="F617" s="100"/>
    </row>
    <row r="618" ht="12.75" customHeight="1">
      <c r="A618" s="100"/>
      <c r="B618" s="93"/>
      <c r="C618" s="93"/>
      <c r="D618" s="100"/>
      <c r="E618" s="41"/>
      <c r="F618" s="100"/>
    </row>
    <row r="619" ht="12.75" customHeight="1">
      <c r="A619" s="100"/>
      <c r="B619" s="93"/>
      <c r="C619" s="93"/>
      <c r="D619" s="100"/>
      <c r="E619" s="41"/>
      <c r="F619" s="100"/>
    </row>
    <row r="620" ht="12.75" customHeight="1">
      <c r="A620" s="100"/>
      <c r="B620" s="93"/>
      <c r="C620" s="93"/>
      <c r="D620" s="100"/>
      <c r="E620" s="41"/>
      <c r="F620" s="100"/>
    </row>
    <row r="621" ht="12.75" customHeight="1">
      <c r="A621" s="100"/>
      <c r="B621" s="93"/>
      <c r="C621" s="93"/>
      <c r="D621" s="100"/>
      <c r="E621" s="41"/>
      <c r="F621" s="100"/>
    </row>
    <row r="622" ht="12.75" customHeight="1">
      <c r="A622" s="100"/>
      <c r="B622" s="93"/>
      <c r="C622" s="93"/>
      <c r="D622" s="100"/>
      <c r="E622" s="41"/>
      <c r="F622" s="100"/>
    </row>
    <row r="623" ht="12.75" customHeight="1">
      <c r="A623" s="100"/>
      <c r="B623" s="93"/>
      <c r="C623" s="93"/>
      <c r="D623" s="100"/>
      <c r="E623" s="41"/>
      <c r="F623" s="100"/>
    </row>
    <row r="624" ht="12.75" customHeight="1">
      <c r="A624" s="100"/>
      <c r="B624" s="93"/>
      <c r="C624" s="93"/>
      <c r="D624" s="100"/>
      <c r="E624" s="41"/>
      <c r="F624" s="100"/>
    </row>
    <row r="625" ht="12.75" customHeight="1">
      <c r="A625" s="100"/>
      <c r="B625" s="93"/>
      <c r="C625" s="93"/>
      <c r="D625" s="100"/>
      <c r="E625" s="41"/>
      <c r="F625" s="100"/>
    </row>
    <row r="626" ht="12.75" customHeight="1">
      <c r="A626" s="100"/>
      <c r="B626" s="93"/>
      <c r="C626" s="93"/>
      <c r="D626" s="100"/>
      <c r="E626" s="41"/>
      <c r="F626" s="100"/>
    </row>
    <row r="627" ht="12.75" customHeight="1">
      <c r="A627" s="100"/>
      <c r="B627" s="93"/>
      <c r="C627" s="93"/>
      <c r="D627" s="100"/>
      <c r="E627" s="41"/>
      <c r="F627" s="100"/>
    </row>
    <row r="628" ht="12.75" customHeight="1">
      <c r="A628" s="100"/>
      <c r="B628" s="93"/>
      <c r="C628" s="93"/>
      <c r="D628" s="100"/>
      <c r="E628" s="41"/>
      <c r="F628" s="100"/>
    </row>
    <row r="629" ht="12.75" customHeight="1">
      <c r="A629" s="100"/>
      <c r="B629" s="93"/>
      <c r="C629" s="93"/>
      <c r="D629" s="100"/>
      <c r="E629" s="41"/>
      <c r="F629" s="100"/>
    </row>
    <row r="630" ht="12.75" customHeight="1">
      <c r="A630" s="100"/>
      <c r="B630" s="93"/>
      <c r="C630" s="93"/>
      <c r="D630" s="100"/>
      <c r="E630" s="41"/>
      <c r="F630" s="100"/>
    </row>
    <row r="631" ht="12.75" customHeight="1">
      <c r="A631" s="100"/>
      <c r="B631" s="93"/>
      <c r="C631" s="93"/>
      <c r="D631" s="100"/>
      <c r="E631" s="41"/>
      <c r="F631" s="100"/>
    </row>
    <row r="632" ht="12.75" customHeight="1">
      <c r="A632" s="100"/>
      <c r="B632" s="93"/>
      <c r="C632" s="93"/>
      <c r="D632" s="100"/>
      <c r="E632" s="41"/>
      <c r="F632" s="100"/>
    </row>
    <row r="633" ht="12.75" customHeight="1">
      <c r="A633" s="100"/>
      <c r="B633" s="93"/>
      <c r="C633" s="93"/>
      <c r="D633" s="100"/>
      <c r="E633" s="41"/>
      <c r="F633" s="100"/>
    </row>
    <row r="634" ht="12.75" customHeight="1">
      <c r="A634" s="100"/>
      <c r="B634" s="93"/>
      <c r="C634" s="93"/>
      <c r="D634" s="100"/>
      <c r="E634" s="41"/>
      <c r="F634" s="100"/>
    </row>
    <row r="635" ht="12.75" customHeight="1">
      <c r="A635" s="100"/>
      <c r="B635" s="93"/>
      <c r="C635" s="93"/>
      <c r="D635" s="100"/>
      <c r="E635" s="41"/>
      <c r="F635" s="100"/>
    </row>
    <row r="636" ht="12.75" customHeight="1">
      <c r="A636" s="100"/>
      <c r="B636" s="93"/>
      <c r="C636" s="93"/>
      <c r="D636" s="100"/>
      <c r="E636" s="41"/>
      <c r="F636" s="100"/>
    </row>
    <row r="637" ht="12.75" customHeight="1">
      <c r="A637" s="100"/>
      <c r="B637" s="93"/>
      <c r="C637" s="93"/>
      <c r="D637" s="100"/>
      <c r="E637" s="41"/>
      <c r="F637" s="100"/>
    </row>
    <row r="638" ht="12.75" customHeight="1">
      <c r="A638" s="100"/>
      <c r="B638" s="93"/>
      <c r="C638" s="93"/>
      <c r="D638" s="100"/>
      <c r="E638" s="41"/>
      <c r="F638" s="100"/>
    </row>
    <row r="639" ht="12.75" customHeight="1">
      <c r="A639" s="100"/>
      <c r="B639" s="93"/>
      <c r="C639" s="93"/>
      <c r="D639" s="100"/>
      <c r="E639" s="41"/>
      <c r="F639" s="100"/>
    </row>
    <row r="640" ht="12.75" customHeight="1">
      <c r="A640" s="100"/>
      <c r="B640" s="93"/>
      <c r="C640" s="93"/>
      <c r="D640" s="100"/>
      <c r="E640" s="41"/>
      <c r="F640" s="100"/>
    </row>
    <row r="641" ht="12.75" customHeight="1">
      <c r="A641" s="100"/>
      <c r="B641" s="93"/>
      <c r="C641" s="93"/>
      <c r="D641" s="100"/>
      <c r="E641" s="41"/>
      <c r="F641" s="100"/>
    </row>
    <row r="642" ht="12.75" customHeight="1">
      <c r="A642" s="100"/>
      <c r="B642" s="93"/>
      <c r="C642" s="93"/>
      <c r="D642" s="100"/>
      <c r="E642" s="41"/>
      <c r="F642" s="100"/>
    </row>
    <row r="643" ht="12.75" customHeight="1">
      <c r="A643" s="100"/>
      <c r="B643" s="93"/>
      <c r="C643" s="93"/>
      <c r="D643" s="100"/>
      <c r="E643" s="41"/>
      <c r="F643" s="100"/>
    </row>
    <row r="644" ht="12.75" customHeight="1">
      <c r="A644" s="100"/>
      <c r="B644" s="93"/>
      <c r="C644" s="93"/>
      <c r="D644" s="100"/>
      <c r="E644" s="41"/>
      <c r="F644" s="100"/>
    </row>
    <row r="645" ht="12.75" customHeight="1">
      <c r="A645" s="100"/>
      <c r="B645" s="93"/>
      <c r="C645" s="93"/>
      <c r="D645" s="100"/>
      <c r="E645" s="41"/>
      <c r="F645" s="100"/>
    </row>
    <row r="646" ht="12.75" customHeight="1">
      <c r="A646" s="100"/>
      <c r="B646" s="93"/>
      <c r="C646" s="93"/>
      <c r="D646" s="100"/>
      <c r="E646" s="41"/>
      <c r="F646" s="100"/>
    </row>
    <row r="647" ht="12.75" customHeight="1">
      <c r="A647" s="100"/>
      <c r="B647" s="93"/>
      <c r="C647" s="93"/>
      <c r="D647" s="100"/>
      <c r="E647" s="41"/>
      <c r="F647" s="100"/>
    </row>
    <row r="648" ht="12.75" customHeight="1">
      <c r="A648" s="100"/>
      <c r="B648" s="93"/>
      <c r="C648" s="93"/>
      <c r="D648" s="100"/>
      <c r="E648" s="41"/>
      <c r="F648" s="100"/>
    </row>
    <row r="649" ht="12.75" customHeight="1">
      <c r="A649" s="100"/>
      <c r="B649" s="93"/>
      <c r="C649" s="93"/>
      <c r="D649" s="100"/>
      <c r="E649" s="41"/>
      <c r="F649" s="100"/>
    </row>
    <row r="650" ht="12.75" customHeight="1">
      <c r="A650" s="100"/>
      <c r="B650" s="93"/>
      <c r="C650" s="93"/>
      <c r="D650" s="100"/>
      <c r="E650" s="41"/>
      <c r="F650" s="100"/>
    </row>
    <row r="651" ht="12.75" customHeight="1">
      <c r="A651" s="100"/>
      <c r="B651" s="93"/>
      <c r="C651" s="93"/>
      <c r="D651" s="100"/>
      <c r="E651" s="41"/>
      <c r="F651" s="100"/>
    </row>
    <row r="652" ht="12.75" customHeight="1">
      <c r="A652" s="100"/>
      <c r="B652" s="93"/>
      <c r="C652" s="93"/>
      <c r="D652" s="100"/>
      <c r="E652" s="41"/>
      <c r="F652" s="100"/>
    </row>
    <row r="653" ht="12.75" customHeight="1">
      <c r="A653" s="100"/>
      <c r="B653" s="93"/>
      <c r="C653" s="93"/>
      <c r="D653" s="100"/>
      <c r="E653" s="41"/>
      <c r="F653" s="100"/>
    </row>
    <row r="654" ht="12.75" customHeight="1">
      <c r="A654" s="100"/>
      <c r="B654" s="93"/>
      <c r="C654" s="93"/>
      <c r="D654" s="100"/>
      <c r="E654" s="41"/>
      <c r="F654" s="100"/>
    </row>
    <row r="655" ht="12.75" customHeight="1">
      <c r="A655" s="100"/>
      <c r="B655" s="93"/>
      <c r="C655" s="93"/>
      <c r="D655" s="100"/>
      <c r="E655" s="41"/>
      <c r="F655" s="100"/>
    </row>
    <row r="656" ht="12.75" customHeight="1">
      <c r="A656" s="100"/>
      <c r="B656" s="93"/>
      <c r="C656" s="93"/>
      <c r="D656" s="100"/>
      <c r="E656" s="41"/>
      <c r="F656" s="100"/>
    </row>
    <row r="657" ht="12.75" customHeight="1">
      <c r="A657" s="100"/>
      <c r="B657" s="93"/>
      <c r="C657" s="93"/>
      <c r="D657" s="100"/>
      <c r="E657" s="41"/>
      <c r="F657" s="100"/>
    </row>
    <row r="658" ht="12.75" customHeight="1">
      <c r="A658" s="100"/>
      <c r="B658" s="93"/>
      <c r="C658" s="93"/>
      <c r="D658" s="100"/>
      <c r="E658" s="41"/>
      <c r="F658" s="100"/>
    </row>
    <row r="659" ht="12.75" customHeight="1">
      <c r="A659" s="100"/>
      <c r="B659" s="93"/>
      <c r="C659" s="93"/>
      <c r="D659" s="100"/>
      <c r="E659" s="41"/>
      <c r="F659" s="100"/>
    </row>
    <row r="660" ht="12.75" customHeight="1">
      <c r="A660" s="100"/>
      <c r="B660" s="93"/>
      <c r="C660" s="93"/>
      <c r="D660" s="100"/>
      <c r="E660" s="41"/>
      <c r="F660" s="100"/>
    </row>
    <row r="661" ht="12.75" customHeight="1">
      <c r="A661" s="100"/>
      <c r="B661" s="93"/>
      <c r="C661" s="93"/>
      <c r="D661" s="100"/>
      <c r="E661" s="41"/>
      <c r="F661" s="100"/>
    </row>
    <row r="662" ht="12.75" customHeight="1">
      <c r="A662" s="100"/>
      <c r="B662" s="93"/>
      <c r="C662" s="93"/>
      <c r="D662" s="100"/>
      <c r="E662" s="41"/>
      <c r="F662" s="100"/>
    </row>
    <row r="663" ht="12.75" customHeight="1">
      <c r="A663" s="100"/>
      <c r="B663" s="93"/>
      <c r="C663" s="93"/>
      <c r="D663" s="100"/>
      <c r="E663" s="41"/>
      <c r="F663" s="100"/>
    </row>
    <row r="664" ht="12.75" customHeight="1">
      <c r="A664" s="100"/>
      <c r="B664" s="93"/>
      <c r="C664" s="93"/>
      <c r="D664" s="100"/>
      <c r="E664" s="41"/>
      <c r="F664" s="100"/>
    </row>
    <row r="665" ht="12.75" customHeight="1">
      <c r="A665" s="100"/>
      <c r="B665" s="93"/>
      <c r="C665" s="93"/>
      <c r="D665" s="100"/>
      <c r="E665" s="41"/>
      <c r="F665" s="100"/>
    </row>
    <row r="666" ht="12.75" customHeight="1">
      <c r="A666" s="100"/>
      <c r="B666" s="93"/>
      <c r="C666" s="93"/>
      <c r="D666" s="100"/>
      <c r="E666" s="41"/>
      <c r="F666" s="100"/>
    </row>
    <row r="667" ht="12.75" customHeight="1">
      <c r="A667" s="100"/>
      <c r="B667" s="93"/>
      <c r="C667" s="93"/>
      <c r="D667" s="100"/>
      <c r="E667" s="41"/>
      <c r="F667" s="100"/>
    </row>
    <row r="668" ht="12.75" customHeight="1">
      <c r="A668" s="100"/>
      <c r="B668" s="93"/>
      <c r="C668" s="93"/>
      <c r="D668" s="100"/>
      <c r="E668" s="41"/>
      <c r="F668" s="100"/>
    </row>
    <row r="669" ht="12.75" customHeight="1">
      <c r="A669" s="100"/>
      <c r="B669" s="93"/>
      <c r="C669" s="93"/>
      <c r="D669" s="100"/>
      <c r="E669" s="41"/>
      <c r="F669" s="100"/>
    </row>
    <row r="670" ht="12.75" customHeight="1">
      <c r="A670" s="100"/>
      <c r="B670" s="93"/>
      <c r="C670" s="93"/>
      <c r="D670" s="100"/>
      <c r="E670" s="41"/>
      <c r="F670" s="100"/>
    </row>
    <row r="671" ht="12.75" customHeight="1">
      <c r="A671" s="100"/>
      <c r="B671" s="93"/>
      <c r="C671" s="93"/>
      <c r="D671" s="100"/>
      <c r="E671" s="41"/>
      <c r="F671" s="100"/>
    </row>
    <row r="672" ht="12.75" customHeight="1">
      <c r="A672" s="100"/>
      <c r="B672" s="93"/>
      <c r="C672" s="93"/>
      <c r="D672" s="100"/>
      <c r="E672" s="41"/>
      <c r="F672" s="100"/>
    </row>
    <row r="673" ht="12.75" customHeight="1">
      <c r="A673" s="100"/>
      <c r="B673" s="93"/>
      <c r="C673" s="93"/>
      <c r="D673" s="100"/>
      <c r="E673" s="41"/>
      <c r="F673" s="100"/>
    </row>
    <row r="674" ht="12.75" customHeight="1">
      <c r="A674" s="100"/>
      <c r="B674" s="93"/>
      <c r="C674" s="93"/>
      <c r="D674" s="100"/>
      <c r="E674" s="41"/>
      <c r="F674" s="100"/>
    </row>
    <row r="675" ht="12.75" customHeight="1">
      <c r="A675" s="100"/>
      <c r="B675" s="93"/>
      <c r="C675" s="93"/>
      <c r="D675" s="100"/>
      <c r="E675" s="41"/>
      <c r="F675" s="100"/>
    </row>
    <row r="676" ht="12.75" customHeight="1">
      <c r="A676" s="100"/>
      <c r="B676" s="93"/>
      <c r="C676" s="93"/>
      <c r="D676" s="100"/>
      <c r="E676" s="41"/>
      <c r="F676" s="100"/>
    </row>
    <row r="677" ht="12.75" customHeight="1">
      <c r="A677" s="100"/>
      <c r="B677" s="93"/>
      <c r="C677" s="93"/>
      <c r="D677" s="100"/>
      <c r="E677" s="41"/>
      <c r="F677" s="100"/>
    </row>
    <row r="678" ht="12.75" customHeight="1">
      <c r="A678" s="100"/>
      <c r="B678" s="93"/>
      <c r="C678" s="93"/>
      <c r="D678" s="100"/>
      <c r="E678" s="41"/>
      <c r="F678" s="100"/>
    </row>
    <row r="679" ht="12.75" customHeight="1">
      <c r="A679" s="100"/>
      <c r="B679" s="93"/>
      <c r="C679" s="93"/>
      <c r="D679" s="100"/>
      <c r="E679" s="41"/>
      <c r="F679" s="100"/>
    </row>
    <row r="680" ht="12.75" customHeight="1">
      <c r="A680" s="100"/>
      <c r="B680" s="93"/>
      <c r="C680" s="93"/>
      <c r="D680" s="100"/>
      <c r="E680" s="41"/>
      <c r="F680" s="100"/>
    </row>
    <row r="681" ht="12.75" customHeight="1">
      <c r="A681" s="100"/>
      <c r="B681" s="93"/>
      <c r="C681" s="93"/>
      <c r="D681" s="100"/>
      <c r="E681" s="41"/>
      <c r="F681" s="100"/>
    </row>
    <row r="682" ht="12.75" customHeight="1">
      <c r="A682" s="100"/>
      <c r="B682" s="93"/>
      <c r="C682" s="93"/>
      <c r="D682" s="100"/>
      <c r="E682" s="41"/>
      <c r="F682" s="100"/>
    </row>
    <row r="683" ht="12.75" customHeight="1">
      <c r="A683" s="100"/>
      <c r="B683" s="93"/>
      <c r="C683" s="93"/>
      <c r="D683" s="100"/>
      <c r="E683" s="41"/>
      <c r="F683" s="100"/>
    </row>
    <row r="684" ht="12.75" customHeight="1">
      <c r="A684" s="100"/>
      <c r="B684" s="93"/>
      <c r="C684" s="93"/>
      <c r="D684" s="100"/>
      <c r="E684" s="41"/>
      <c r="F684" s="100"/>
    </row>
    <row r="685" ht="12.75" customHeight="1">
      <c r="A685" s="100"/>
      <c r="B685" s="93"/>
      <c r="C685" s="93"/>
      <c r="D685" s="100"/>
      <c r="E685" s="41"/>
      <c r="F685" s="100"/>
    </row>
    <row r="686" ht="12.75" customHeight="1">
      <c r="A686" s="100"/>
      <c r="B686" s="93"/>
      <c r="C686" s="93"/>
      <c r="D686" s="100"/>
      <c r="E686" s="41"/>
      <c r="F686" s="100"/>
    </row>
    <row r="687" ht="12.75" customHeight="1">
      <c r="A687" s="100"/>
      <c r="B687" s="93"/>
      <c r="C687" s="93"/>
      <c r="D687" s="100"/>
      <c r="E687" s="41"/>
      <c r="F687" s="100"/>
    </row>
    <row r="688" ht="12.75" customHeight="1">
      <c r="A688" s="100"/>
      <c r="B688" s="93"/>
      <c r="C688" s="93"/>
      <c r="D688" s="100"/>
      <c r="E688" s="41"/>
      <c r="F688" s="100"/>
    </row>
    <row r="689" ht="12.75" customHeight="1">
      <c r="A689" s="100"/>
      <c r="B689" s="93"/>
      <c r="C689" s="93"/>
      <c r="D689" s="100"/>
      <c r="E689" s="41"/>
      <c r="F689" s="100"/>
    </row>
    <row r="690" ht="12.75" customHeight="1">
      <c r="A690" s="100"/>
      <c r="B690" s="93"/>
      <c r="C690" s="93"/>
      <c r="D690" s="100"/>
      <c r="E690" s="41"/>
      <c r="F690" s="100"/>
    </row>
    <row r="691" ht="12.75" customHeight="1">
      <c r="A691" s="100"/>
      <c r="B691" s="93"/>
      <c r="C691" s="93"/>
      <c r="D691" s="100"/>
      <c r="E691" s="41"/>
      <c r="F691" s="100"/>
    </row>
    <row r="692" ht="12.75" customHeight="1">
      <c r="A692" s="100"/>
      <c r="B692" s="93"/>
      <c r="C692" s="93"/>
      <c r="D692" s="100"/>
      <c r="E692" s="41"/>
      <c r="F692" s="100"/>
    </row>
    <row r="693" ht="12.75" customHeight="1">
      <c r="A693" s="100"/>
      <c r="B693" s="93"/>
      <c r="C693" s="93"/>
      <c r="D693" s="100"/>
      <c r="E693" s="41"/>
      <c r="F693" s="100"/>
    </row>
    <row r="694" ht="12.75" customHeight="1">
      <c r="A694" s="100"/>
      <c r="B694" s="93"/>
      <c r="C694" s="93"/>
      <c r="D694" s="100"/>
      <c r="E694" s="41"/>
      <c r="F694" s="100"/>
    </row>
    <row r="695" ht="12.75" customHeight="1">
      <c r="A695" s="100"/>
      <c r="B695" s="93"/>
      <c r="C695" s="93"/>
      <c r="D695" s="100"/>
      <c r="E695" s="41"/>
      <c r="F695" s="100"/>
    </row>
    <row r="696" ht="12.75" customHeight="1">
      <c r="A696" s="100"/>
      <c r="B696" s="93"/>
      <c r="C696" s="93"/>
      <c r="D696" s="100"/>
      <c r="E696" s="41"/>
      <c r="F696" s="100"/>
    </row>
    <row r="697" ht="12.75" customHeight="1">
      <c r="A697" s="100"/>
      <c r="B697" s="93"/>
      <c r="C697" s="93"/>
      <c r="D697" s="100"/>
      <c r="E697" s="41"/>
      <c r="F697" s="100"/>
    </row>
    <row r="698" ht="12.75" customHeight="1">
      <c r="A698" s="100"/>
      <c r="B698" s="93"/>
      <c r="C698" s="93"/>
      <c r="D698" s="100"/>
      <c r="E698" s="41"/>
      <c r="F698" s="100"/>
    </row>
    <row r="699" ht="12.75" customHeight="1">
      <c r="A699" s="100"/>
      <c r="B699" s="93"/>
      <c r="C699" s="93"/>
      <c r="D699" s="100"/>
      <c r="E699" s="41"/>
      <c r="F699" s="100"/>
    </row>
    <row r="700" ht="12.75" customHeight="1">
      <c r="A700" s="100"/>
      <c r="B700" s="93"/>
      <c r="C700" s="93"/>
      <c r="D700" s="100"/>
      <c r="E700" s="41"/>
      <c r="F700" s="100"/>
    </row>
    <row r="701" ht="12.75" customHeight="1">
      <c r="A701" s="100"/>
      <c r="B701" s="93"/>
      <c r="C701" s="93"/>
      <c r="D701" s="100"/>
      <c r="E701" s="41"/>
      <c r="F701" s="100"/>
    </row>
    <row r="702" ht="12.75" customHeight="1">
      <c r="A702" s="100"/>
      <c r="B702" s="93"/>
      <c r="C702" s="93"/>
      <c r="D702" s="100"/>
      <c r="E702" s="41"/>
      <c r="F702" s="100"/>
    </row>
    <row r="703" ht="12.75" customHeight="1">
      <c r="A703" s="100"/>
      <c r="B703" s="93"/>
      <c r="C703" s="93"/>
      <c r="D703" s="100"/>
      <c r="E703" s="41"/>
      <c r="F703" s="100"/>
    </row>
    <row r="704" ht="12.75" customHeight="1">
      <c r="A704" s="100"/>
      <c r="B704" s="93"/>
      <c r="C704" s="93"/>
      <c r="D704" s="100"/>
      <c r="E704" s="41"/>
      <c r="F704" s="100"/>
    </row>
    <row r="705" ht="12.75" customHeight="1">
      <c r="A705" s="100"/>
      <c r="B705" s="93"/>
      <c r="C705" s="93"/>
      <c r="D705" s="100"/>
      <c r="E705" s="41"/>
      <c r="F705" s="100"/>
    </row>
    <row r="706" ht="12.75" customHeight="1">
      <c r="A706" s="100"/>
      <c r="B706" s="93"/>
      <c r="C706" s="93"/>
      <c r="D706" s="100"/>
      <c r="E706" s="41"/>
      <c r="F706" s="100"/>
    </row>
    <row r="707" ht="12.75" customHeight="1">
      <c r="A707" s="100"/>
      <c r="B707" s="93"/>
      <c r="C707" s="93"/>
      <c r="D707" s="100"/>
      <c r="E707" s="41"/>
      <c r="F707" s="100"/>
    </row>
    <row r="708" ht="12.75" customHeight="1">
      <c r="A708" s="100"/>
      <c r="B708" s="93"/>
      <c r="C708" s="93"/>
      <c r="D708" s="100"/>
      <c r="E708" s="41"/>
      <c r="F708" s="100"/>
    </row>
    <row r="709" ht="12.75" customHeight="1">
      <c r="A709" s="100"/>
      <c r="B709" s="93"/>
      <c r="C709" s="93"/>
      <c r="D709" s="100"/>
      <c r="E709" s="41"/>
      <c r="F709" s="100"/>
    </row>
    <row r="710" ht="12.75" customHeight="1">
      <c r="A710" s="100"/>
      <c r="B710" s="93"/>
      <c r="C710" s="93"/>
      <c r="D710" s="100"/>
      <c r="E710" s="41"/>
      <c r="F710" s="100"/>
    </row>
    <row r="711" ht="12.75" customHeight="1">
      <c r="A711" s="100"/>
      <c r="B711" s="93"/>
      <c r="C711" s="93"/>
      <c r="D711" s="100"/>
      <c r="E711" s="41"/>
      <c r="F711" s="100"/>
    </row>
    <row r="712" ht="12.75" customHeight="1">
      <c r="A712" s="100"/>
      <c r="B712" s="93"/>
      <c r="C712" s="93"/>
      <c r="D712" s="100"/>
      <c r="E712" s="41"/>
      <c r="F712" s="100"/>
    </row>
    <row r="713" ht="12.75" customHeight="1">
      <c r="A713" s="100"/>
      <c r="B713" s="93"/>
      <c r="C713" s="93"/>
      <c r="D713" s="100"/>
      <c r="E713" s="41"/>
      <c r="F713" s="100"/>
    </row>
    <row r="714" ht="12.75" customHeight="1">
      <c r="A714" s="100"/>
      <c r="B714" s="93"/>
      <c r="C714" s="93"/>
      <c r="D714" s="100"/>
      <c r="E714" s="41"/>
      <c r="F714" s="100"/>
    </row>
    <row r="715" ht="12.75" customHeight="1">
      <c r="A715" s="100"/>
      <c r="B715" s="93"/>
      <c r="C715" s="93"/>
      <c r="D715" s="100"/>
      <c r="E715" s="41"/>
      <c r="F715" s="100"/>
    </row>
    <row r="716" ht="12.75" customHeight="1">
      <c r="A716" s="100"/>
      <c r="B716" s="93"/>
      <c r="C716" s="93"/>
      <c r="D716" s="100"/>
      <c r="E716" s="41"/>
      <c r="F716" s="100"/>
    </row>
    <row r="717" ht="12.75" customHeight="1">
      <c r="A717" s="100"/>
      <c r="B717" s="93"/>
      <c r="C717" s="93"/>
      <c r="D717" s="100"/>
      <c r="E717" s="41"/>
      <c r="F717" s="100"/>
    </row>
    <row r="718" ht="12.75" customHeight="1">
      <c r="A718" s="100"/>
      <c r="B718" s="93"/>
      <c r="C718" s="93"/>
      <c r="D718" s="100"/>
      <c r="E718" s="41"/>
      <c r="F718" s="100"/>
    </row>
    <row r="719" ht="12.75" customHeight="1">
      <c r="A719" s="100"/>
      <c r="B719" s="93"/>
      <c r="C719" s="93"/>
      <c r="D719" s="100"/>
      <c r="E719" s="41"/>
      <c r="F719" s="100"/>
    </row>
    <row r="720" ht="12.75" customHeight="1">
      <c r="A720" s="100"/>
      <c r="B720" s="93"/>
      <c r="C720" s="93"/>
      <c r="D720" s="100"/>
      <c r="E720" s="41"/>
      <c r="F720" s="100"/>
    </row>
    <row r="721" ht="12.75" customHeight="1">
      <c r="A721" s="100"/>
      <c r="B721" s="93"/>
      <c r="C721" s="93"/>
      <c r="D721" s="100"/>
      <c r="E721" s="41"/>
      <c r="F721" s="100"/>
    </row>
    <row r="722" ht="12.75" customHeight="1">
      <c r="A722" s="100"/>
      <c r="B722" s="93"/>
      <c r="C722" s="93"/>
      <c r="D722" s="100"/>
      <c r="E722" s="41"/>
      <c r="F722" s="100"/>
    </row>
    <row r="723" ht="12.75" customHeight="1">
      <c r="A723" s="100"/>
      <c r="B723" s="93"/>
      <c r="C723" s="93"/>
      <c r="D723" s="100"/>
      <c r="E723" s="41"/>
      <c r="F723" s="100"/>
    </row>
    <row r="724" ht="12.75" customHeight="1">
      <c r="A724" s="100"/>
      <c r="B724" s="93"/>
      <c r="C724" s="93"/>
      <c r="D724" s="100"/>
      <c r="E724" s="41"/>
      <c r="F724" s="100"/>
    </row>
    <row r="725" ht="12.75" customHeight="1">
      <c r="A725" s="100"/>
      <c r="B725" s="93"/>
      <c r="C725" s="93"/>
      <c r="D725" s="100"/>
      <c r="E725" s="41"/>
      <c r="F725" s="100"/>
    </row>
    <row r="726" ht="12.75" customHeight="1">
      <c r="A726" s="100"/>
      <c r="B726" s="93"/>
      <c r="C726" s="93"/>
      <c r="D726" s="100"/>
      <c r="E726" s="41"/>
      <c r="F726" s="100"/>
    </row>
    <row r="727" ht="12.75" customHeight="1">
      <c r="A727" s="100"/>
      <c r="B727" s="93"/>
      <c r="C727" s="93"/>
      <c r="D727" s="100"/>
      <c r="E727" s="41"/>
      <c r="F727" s="100"/>
    </row>
    <row r="728" ht="12.75" customHeight="1">
      <c r="A728" s="100"/>
      <c r="B728" s="93"/>
      <c r="C728" s="93"/>
      <c r="D728" s="100"/>
      <c r="E728" s="41"/>
      <c r="F728" s="100"/>
    </row>
    <row r="729" ht="12.75" customHeight="1">
      <c r="A729" s="100"/>
      <c r="B729" s="93"/>
      <c r="C729" s="93"/>
      <c r="D729" s="100"/>
      <c r="E729" s="41"/>
      <c r="F729" s="100"/>
    </row>
    <row r="730" ht="12.75" customHeight="1">
      <c r="A730" s="100"/>
      <c r="B730" s="93"/>
      <c r="C730" s="93"/>
      <c r="D730" s="100"/>
      <c r="E730" s="41"/>
      <c r="F730" s="100"/>
    </row>
    <row r="731" ht="12.75" customHeight="1">
      <c r="A731" s="100"/>
      <c r="B731" s="93"/>
      <c r="C731" s="93"/>
      <c r="D731" s="100"/>
      <c r="E731" s="41"/>
      <c r="F731" s="100"/>
    </row>
    <row r="732" ht="12.75" customHeight="1">
      <c r="A732" s="100"/>
      <c r="B732" s="93"/>
      <c r="C732" s="93"/>
      <c r="D732" s="100"/>
      <c r="E732" s="41"/>
      <c r="F732" s="100"/>
    </row>
    <row r="733" ht="12.75" customHeight="1">
      <c r="A733" s="100"/>
      <c r="B733" s="93"/>
      <c r="C733" s="93"/>
      <c r="D733" s="100"/>
      <c r="E733" s="41"/>
      <c r="F733" s="100"/>
    </row>
    <row r="734" ht="12.75" customHeight="1">
      <c r="A734" s="100"/>
      <c r="B734" s="93"/>
      <c r="C734" s="93"/>
      <c r="D734" s="100"/>
      <c r="E734" s="41"/>
      <c r="F734" s="100"/>
    </row>
    <row r="735" ht="12.75" customHeight="1">
      <c r="A735" s="100"/>
      <c r="B735" s="93"/>
      <c r="C735" s="93"/>
      <c r="D735" s="100"/>
      <c r="E735" s="41"/>
      <c r="F735" s="100"/>
    </row>
    <row r="736" ht="12.75" customHeight="1">
      <c r="A736" s="100"/>
      <c r="B736" s="93"/>
      <c r="C736" s="93"/>
      <c r="D736" s="100"/>
      <c r="E736" s="41"/>
      <c r="F736" s="100"/>
    </row>
    <row r="737" ht="12.75" customHeight="1">
      <c r="A737" s="100"/>
      <c r="B737" s="93"/>
      <c r="C737" s="93"/>
      <c r="D737" s="100"/>
      <c r="E737" s="41"/>
      <c r="F737" s="100"/>
    </row>
    <row r="738" ht="12.75" customHeight="1">
      <c r="A738" s="100"/>
      <c r="B738" s="93"/>
      <c r="C738" s="93"/>
      <c r="D738" s="100"/>
      <c r="E738" s="41"/>
      <c r="F738" s="100"/>
    </row>
    <row r="739" ht="12.75" customHeight="1">
      <c r="A739" s="100"/>
      <c r="B739" s="93"/>
      <c r="C739" s="93"/>
      <c r="D739" s="100"/>
      <c r="E739" s="41"/>
      <c r="F739" s="100"/>
    </row>
    <row r="740" ht="12.75" customHeight="1">
      <c r="A740" s="100"/>
      <c r="B740" s="93"/>
      <c r="C740" s="93"/>
      <c r="D740" s="100"/>
      <c r="E740" s="41"/>
      <c r="F740" s="100"/>
    </row>
    <row r="741" ht="12.75" customHeight="1">
      <c r="A741" s="100"/>
      <c r="B741" s="93"/>
      <c r="C741" s="93"/>
      <c r="D741" s="100"/>
      <c r="E741" s="41"/>
      <c r="F741" s="100"/>
    </row>
    <row r="742" ht="12.75" customHeight="1">
      <c r="A742" s="100"/>
      <c r="B742" s="93"/>
      <c r="C742" s="93"/>
      <c r="D742" s="100"/>
      <c r="E742" s="41"/>
      <c r="F742" s="100"/>
    </row>
    <row r="743" ht="12.75" customHeight="1">
      <c r="A743" s="100"/>
      <c r="B743" s="93"/>
      <c r="C743" s="93"/>
      <c r="D743" s="100"/>
      <c r="E743" s="41"/>
      <c r="F743" s="100"/>
    </row>
    <row r="744" ht="12.75" customHeight="1">
      <c r="A744" s="100"/>
      <c r="B744" s="93"/>
      <c r="C744" s="93"/>
      <c r="D744" s="100"/>
      <c r="E744" s="41"/>
      <c r="F744" s="100"/>
    </row>
    <row r="745" ht="12.75" customHeight="1">
      <c r="A745" s="100"/>
      <c r="B745" s="93"/>
      <c r="C745" s="93"/>
      <c r="D745" s="100"/>
      <c r="E745" s="41"/>
      <c r="F745" s="100"/>
    </row>
    <row r="746" ht="12.75" customHeight="1">
      <c r="A746" s="100"/>
      <c r="B746" s="93"/>
      <c r="C746" s="93"/>
      <c r="D746" s="100"/>
      <c r="E746" s="41"/>
      <c r="F746" s="100"/>
    </row>
    <row r="747" ht="12.75" customHeight="1">
      <c r="A747" s="100"/>
      <c r="B747" s="93"/>
      <c r="C747" s="93"/>
      <c r="D747" s="100"/>
      <c r="E747" s="41"/>
      <c r="F747" s="100"/>
    </row>
    <row r="748" ht="12.75" customHeight="1">
      <c r="A748" s="100"/>
      <c r="B748" s="93"/>
      <c r="C748" s="93"/>
      <c r="D748" s="100"/>
      <c r="E748" s="41"/>
      <c r="F748" s="100"/>
    </row>
    <row r="749" ht="12.75" customHeight="1">
      <c r="A749" s="100"/>
      <c r="B749" s="93"/>
      <c r="C749" s="93"/>
      <c r="D749" s="100"/>
      <c r="E749" s="41"/>
      <c r="F749" s="100"/>
    </row>
    <row r="750" ht="12.75" customHeight="1">
      <c r="A750" s="100"/>
      <c r="B750" s="93"/>
      <c r="C750" s="93"/>
      <c r="D750" s="100"/>
      <c r="E750" s="41"/>
      <c r="F750" s="100"/>
    </row>
    <row r="751" ht="12.75" customHeight="1">
      <c r="A751" s="100"/>
      <c r="B751" s="93"/>
      <c r="C751" s="93"/>
      <c r="D751" s="100"/>
      <c r="E751" s="41"/>
      <c r="F751" s="100"/>
    </row>
    <row r="752" ht="12.75" customHeight="1">
      <c r="A752" s="100"/>
      <c r="B752" s="93"/>
      <c r="C752" s="93"/>
      <c r="D752" s="100"/>
      <c r="E752" s="41"/>
      <c r="F752" s="100"/>
    </row>
    <row r="753" ht="12.75" customHeight="1">
      <c r="A753" s="100"/>
      <c r="B753" s="93"/>
      <c r="C753" s="93"/>
      <c r="D753" s="100"/>
      <c r="E753" s="41"/>
      <c r="F753" s="100"/>
    </row>
    <row r="754" ht="12.75" customHeight="1">
      <c r="A754" s="100"/>
      <c r="B754" s="93"/>
      <c r="C754" s="93"/>
      <c r="D754" s="100"/>
      <c r="E754" s="41"/>
      <c r="F754" s="100"/>
    </row>
    <row r="755" ht="12.75" customHeight="1">
      <c r="A755" s="100"/>
      <c r="B755" s="93"/>
      <c r="C755" s="93"/>
      <c r="D755" s="100"/>
      <c r="E755" s="41"/>
      <c r="F755" s="100"/>
    </row>
    <row r="756" ht="12.75" customHeight="1">
      <c r="A756" s="100"/>
      <c r="B756" s="93"/>
      <c r="C756" s="93"/>
      <c r="D756" s="100"/>
      <c r="E756" s="41"/>
      <c r="F756" s="100"/>
    </row>
    <row r="757" ht="12.75" customHeight="1">
      <c r="A757" s="100"/>
      <c r="B757" s="93"/>
      <c r="C757" s="93"/>
      <c r="D757" s="100"/>
      <c r="E757" s="41"/>
      <c r="F757" s="100"/>
    </row>
    <row r="758" ht="12.75" customHeight="1">
      <c r="A758" s="100"/>
      <c r="B758" s="93"/>
      <c r="C758" s="93"/>
      <c r="D758" s="100"/>
      <c r="E758" s="41"/>
      <c r="F758" s="100"/>
    </row>
    <row r="759" ht="12.75" customHeight="1">
      <c r="A759" s="100"/>
      <c r="B759" s="93"/>
      <c r="C759" s="93"/>
      <c r="D759" s="100"/>
      <c r="E759" s="41"/>
      <c r="F759" s="100"/>
    </row>
    <row r="760" ht="12.75" customHeight="1">
      <c r="A760" s="100"/>
      <c r="B760" s="93"/>
      <c r="C760" s="93"/>
      <c r="D760" s="100"/>
      <c r="E760" s="41"/>
      <c r="F760" s="100"/>
    </row>
    <row r="761" ht="12.75" customHeight="1">
      <c r="A761" s="100"/>
      <c r="B761" s="93"/>
      <c r="C761" s="93"/>
      <c r="D761" s="100"/>
      <c r="E761" s="41"/>
      <c r="F761" s="100"/>
    </row>
    <row r="762" ht="12.75" customHeight="1">
      <c r="A762" s="100"/>
      <c r="B762" s="93"/>
      <c r="C762" s="93"/>
      <c r="D762" s="100"/>
      <c r="E762" s="41"/>
      <c r="F762" s="100"/>
    </row>
    <row r="763" ht="12.75" customHeight="1">
      <c r="A763" s="100"/>
      <c r="B763" s="93"/>
      <c r="C763" s="93"/>
      <c r="D763" s="100"/>
      <c r="E763" s="41"/>
      <c r="F763" s="100"/>
    </row>
    <row r="764" ht="12.75" customHeight="1">
      <c r="A764" s="100"/>
      <c r="B764" s="93"/>
      <c r="C764" s="93"/>
      <c r="D764" s="100"/>
      <c r="E764" s="41"/>
      <c r="F764" s="100"/>
    </row>
    <row r="765" ht="12.75" customHeight="1">
      <c r="A765" s="100"/>
      <c r="B765" s="93"/>
      <c r="C765" s="93"/>
      <c r="D765" s="100"/>
      <c r="E765" s="41"/>
      <c r="F765" s="100"/>
    </row>
    <row r="766" ht="12.75" customHeight="1">
      <c r="A766" s="100"/>
      <c r="B766" s="93"/>
      <c r="C766" s="93"/>
      <c r="D766" s="100"/>
      <c r="E766" s="41"/>
      <c r="F766" s="100"/>
    </row>
    <row r="767" ht="12.75" customHeight="1">
      <c r="A767" s="100"/>
      <c r="B767" s="93"/>
      <c r="C767" s="93"/>
      <c r="D767" s="100"/>
      <c r="E767" s="41"/>
      <c r="F767" s="100"/>
    </row>
    <row r="768" ht="12.75" customHeight="1">
      <c r="A768" s="100"/>
      <c r="B768" s="93"/>
      <c r="C768" s="93"/>
      <c r="D768" s="100"/>
      <c r="E768" s="41"/>
      <c r="F768" s="100"/>
    </row>
    <row r="769" ht="12.75" customHeight="1">
      <c r="A769" s="100"/>
      <c r="B769" s="93"/>
      <c r="C769" s="93"/>
      <c r="D769" s="100"/>
      <c r="E769" s="41"/>
      <c r="F769" s="100"/>
    </row>
    <row r="770" ht="12.75" customHeight="1">
      <c r="A770" s="100"/>
      <c r="B770" s="93"/>
      <c r="C770" s="93"/>
      <c r="D770" s="100"/>
      <c r="E770" s="41"/>
      <c r="F770" s="100"/>
    </row>
    <row r="771" ht="12.75" customHeight="1">
      <c r="A771" s="100"/>
      <c r="B771" s="93"/>
      <c r="C771" s="93"/>
      <c r="D771" s="100"/>
      <c r="E771" s="41"/>
      <c r="F771" s="100"/>
    </row>
    <row r="772" ht="12.75" customHeight="1">
      <c r="A772" s="100"/>
      <c r="B772" s="93"/>
      <c r="C772" s="93"/>
      <c r="D772" s="100"/>
      <c r="E772" s="41"/>
      <c r="F772" s="100"/>
    </row>
    <row r="773" ht="12.75" customHeight="1">
      <c r="A773" s="100"/>
      <c r="B773" s="93"/>
      <c r="C773" s="93"/>
      <c r="D773" s="100"/>
      <c r="E773" s="41"/>
      <c r="F773" s="100"/>
    </row>
    <row r="774" ht="12.75" customHeight="1">
      <c r="A774" s="100"/>
      <c r="B774" s="93"/>
      <c r="C774" s="93"/>
      <c r="D774" s="100"/>
      <c r="E774" s="41"/>
      <c r="F774" s="100"/>
    </row>
    <row r="775" ht="12.75" customHeight="1">
      <c r="A775" s="100"/>
      <c r="B775" s="93"/>
      <c r="C775" s="93"/>
      <c r="D775" s="100"/>
      <c r="E775" s="41"/>
      <c r="F775" s="100"/>
    </row>
    <row r="776" ht="12.75" customHeight="1">
      <c r="A776" s="100"/>
      <c r="B776" s="93"/>
      <c r="C776" s="93"/>
      <c r="D776" s="100"/>
      <c r="E776" s="41"/>
      <c r="F776" s="100"/>
    </row>
    <row r="777" ht="12.75" customHeight="1">
      <c r="A777" s="100"/>
      <c r="B777" s="93"/>
      <c r="C777" s="93"/>
      <c r="D777" s="100"/>
      <c r="E777" s="41"/>
      <c r="F777" s="100"/>
    </row>
    <row r="778" ht="12.75" customHeight="1">
      <c r="A778" s="100"/>
      <c r="B778" s="93"/>
      <c r="C778" s="93"/>
      <c r="D778" s="100"/>
      <c r="E778" s="41"/>
      <c r="F778" s="100"/>
    </row>
    <row r="779" ht="12.75" customHeight="1">
      <c r="A779" s="100"/>
      <c r="B779" s="93"/>
      <c r="C779" s="93"/>
      <c r="D779" s="100"/>
      <c r="E779" s="41"/>
      <c r="F779" s="100"/>
    </row>
    <row r="780" ht="12.75" customHeight="1">
      <c r="A780" s="100"/>
      <c r="B780" s="93"/>
      <c r="C780" s="93"/>
      <c r="D780" s="100"/>
      <c r="E780" s="41"/>
      <c r="F780" s="100"/>
    </row>
    <row r="781" ht="12.75" customHeight="1">
      <c r="A781" s="100"/>
      <c r="B781" s="93"/>
      <c r="C781" s="93"/>
      <c r="D781" s="100"/>
      <c r="E781" s="41"/>
      <c r="F781" s="100"/>
    </row>
    <row r="782" ht="12.75" customHeight="1">
      <c r="A782" s="100"/>
      <c r="B782" s="93"/>
      <c r="C782" s="93"/>
      <c r="D782" s="100"/>
      <c r="E782" s="41"/>
      <c r="F782" s="100"/>
    </row>
    <row r="783" ht="12.75" customHeight="1">
      <c r="A783" s="100"/>
      <c r="B783" s="93"/>
      <c r="C783" s="93"/>
      <c r="D783" s="100"/>
      <c r="E783" s="41"/>
      <c r="F783" s="100"/>
    </row>
    <row r="784" ht="12.75" customHeight="1">
      <c r="A784" s="100"/>
      <c r="B784" s="93"/>
      <c r="C784" s="93"/>
      <c r="D784" s="100"/>
      <c r="E784" s="41"/>
      <c r="F784" s="100"/>
    </row>
    <row r="785" ht="12.75" customHeight="1">
      <c r="A785" s="100"/>
      <c r="B785" s="93"/>
      <c r="C785" s="93"/>
      <c r="D785" s="100"/>
      <c r="E785" s="41"/>
      <c r="F785" s="100"/>
    </row>
    <row r="786" ht="12.75" customHeight="1">
      <c r="A786" s="100"/>
      <c r="B786" s="93"/>
      <c r="C786" s="93"/>
      <c r="D786" s="100"/>
      <c r="E786" s="41"/>
      <c r="F786" s="100"/>
    </row>
    <row r="787" ht="12.75" customHeight="1">
      <c r="A787" s="100"/>
      <c r="B787" s="93"/>
      <c r="C787" s="93"/>
      <c r="D787" s="100"/>
      <c r="E787" s="41"/>
      <c r="F787" s="100"/>
    </row>
    <row r="788" ht="12.75" customHeight="1">
      <c r="A788" s="100"/>
      <c r="B788" s="93"/>
      <c r="C788" s="93"/>
      <c r="D788" s="100"/>
      <c r="E788" s="41"/>
      <c r="F788" s="100"/>
    </row>
    <row r="789" ht="12.75" customHeight="1">
      <c r="A789" s="100"/>
      <c r="B789" s="93"/>
      <c r="C789" s="93"/>
      <c r="D789" s="100"/>
      <c r="E789" s="41"/>
      <c r="F789" s="100"/>
    </row>
    <row r="790" ht="12.75" customHeight="1">
      <c r="A790" s="100"/>
      <c r="B790" s="93"/>
      <c r="C790" s="93"/>
      <c r="D790" s="100"/>
      <c r="E790" s="41"/>
      <c r="F790" s="100"/>
    </row>
    <row r="791" ht="12.75" customHeight="1">
      <c r="A791" s="100"/>
      <c r="B791" s="93"/>
      <c r="C791" s="93"/>
      <c r="D791" s="100"/>
      <c r="E791" s="41"/>
      <c r="F791" s="100"/>
    </row>
    <row r="792" ht="12.75" customHeight="1">
      <c r="A792" s="100"/>
      <c r="B792" s="93"/>
      <c r="C792" s="93"/>
      <c r="D792" s="100"/>
      <c r="E792" s="41"/>
      <c r="F792" s="100"/>
    </row>
    <row r="793" ht="12.75" customHeight="1">
      <c r="A793" s="100"/>
      <c r="B793" s="93"/>
      <c r="C793" s="93"/>
      <c r="D793" s="100"/>
      <c r="E793" s="41"/>
      <c r="F793" s="100"/>
    </row>
    <row r="794" ht="12.75" customHeight="1">
      <c r="A794" s="100"/>
      <c r="B794" s="93"/>
      <c r="C794" s="93"/>
      <c r="D794" s="100"/>
      <c r="E794" s="41"/>
      <c r="F794" s="100"/>
    </row>
    <row r="795" ht="12.75" customHeight="1">
      <c r="A795" s="100"/>
      <c r="B795" s="93"/>
      <c r="C795" s="93"/>
      <c r="D795" s="100"/>
      <c r="E795" s="41"/>
      <c r="F795" s="100"/>
    </row>
    <row r="796" ht="12.75" customHeight="1">
      <c r="A796" s="100"/>
      <c r="B796" s="93"/>
      <c r="C796" s="93"/>
      <c r="D796" s="100"/>
      <c r="E796" s="41"/>
      <c r="F796" s="100"/>
    </row>
    <row r="797" ht="12.75" customHeight="1">
      <c r="A797" s="100"/>
      <c r="B797" s="93"/>
      <c r="C797" s="93"/>
      <c r="D797" s="100"/>
      <c r="E797" s="41"/>
      <c r="F797" s="100"/>
    </row>
    <row r="798" ht="12.75" customHeight="1">
      <c r="A798" s="100"/>
      <c r="B798" s="93"/>
      <c r="C798" s="93"/>
      <c r="D798" s="100"/>
      <c r="E798" s="41"/>
      <c r="F798" s="100"/>
    </row>
    <row r="799" ht="12.75" customHeight="1">
      <c r="A799" s="100"/>
      <c r="B799" s="93"/>
      <c r="C799" s="93"/>
      <c r="D799" s="100"/>
      <c r="E799" s="41"/>
      <c r="F799" s="100"/>
    </row>
    <row r="800" ht="12.75" customHeight="1">
      <c r="A800" s="100"/>
      <c r="B800" s="93"/>
      <c r="C800" s="93"/>
      <c r="D800" s="100"/>
      <c r="E800" s="41"/>
      <c r="F800" s="100"/>
    </row>
    <row r="801" ht="12.75" customHeight="1">
      <c r="A801" s="100"/>
      <c r="B801" s="93"/>
      <c r="C801" s="93"/>
      <c r="D801" s="100"/>
      <c r="E801" s="41"/>
      <c r="F801" s="100"/>
    </row>
    <row r="802" ht="12.75" customHeight="1">
      <c r="A802" s="100"/>
      <c r="B802" s="93"/>
      <c r="C802" s="93"/>
      <c r="D802" s="100"/>
      <c r="E802" s="41"/>
      <c r="F802" s="100"/>
    </row>
    <row r="803" ht="12.75" customHeight="1">
      <c r="A803" s="100"/>
      <c r="B803" s="93"/>
      <c r="C803" s="93"/>
      <c r="D803" s="100"/>
      <c r="E803" s="41"/>
      <c r="F803" s="100"/>
    </row>
    <row r="804" ht="12.75" customHeight="1">
      <c r="A804" s="100"/>
      <c r="B804" s="93"/>
      <c r="C804" s="93"/>
      <c r="D804" s="100"/>
      <c r="E804" s="41"/>
      <c r="F804" s="100"/>
    </row>
    <row r="805" ht="12.75" customHeight="1">
      <c r="A805" s="100"/>
      <c r="B805" s="93"/>
      <c r="C805" s="93"/>
      <c r="D805" s="100"/>
      <c r="E805" s="41"/>
      <c r="F805" s="100"/>
    </row>
    <row r="806" ht="12.75" customHeight="1">
      <c r="A806" s="100"/>
      <c r="B806" s="93"/>
      <c r="C806" s="93"/>
      <c r="D806" s="100"/>
      <c r="E806" s="41"/>
      <c r="F806" s="100"/>
    </row>
    <row r="807" ht="12.75" customHeight="1">
      <c r="A807" s="100"/>
      <c r="B807" s="93"/>
      <c r="C807" s="93"/>
      <c r="D807" s="100"/>
      <c r="E807" s="41"/>
      <c r="F807" s="100"/>
    </row>
    <row r="808" ht="12.75" customHeight="1">
      <c r="A808" s="100"/>
      <c r="B808" s="93"/>
      <c r="C808" s="93"/>
      <c r="D808" s="100"/>
      <c r="E808" s="41"/>
      <c r="F808" s="100"/>
    </row>
    <row r="809" ht="12.75" customHeight="1">
      <c r="A809" s="100"/>
      <c r="B809" s="93"/>
      <c r="C809" s="93"/>
      <c r="D809" s="100"/>
      <c r="E809" s="41"/>
      <c r="F809" s="100"/>
    </row>
    <row r="810" ht="12.75" customHeight="1">
      <c r="A810" s="100"/>
      <c r="B810" s="93"/>
      <c r="C810" s="93"/>
      <c r="D810" s="100"/>
      <c r="E810" s="41"/>
      <c r="F810" s="100"/>
    </row>
    <row r="811" ht="12.75" customHeight="1">
      <c r="A811" s="100"/>
      <c r="B811" s="93"/>
      <c r="C811" s="93"/>
      <c r="D811" s="100"/>
      <c r="E811" s="41"/>
      <c r="F811" s="100"/>
    </row>
    <row r="812" ht="12.75" customHeight="1">
      <c r="A812" s="100"/>
      <c r="B812" s="93"/>
      <c r="C812" s="93"/>
      <c r="D812" s="100"/>
      <c r="E812" s="41"/>
      <c r="F812" s="100"/>
    </row>
    <row r="813" ht="12.75" customHeight="1">
      <c r="A813" s="100"/>
      <c r="B813" s="93"/>
      <c r="C813" s="93"/>
      <c r="D813" s="100"/>
      <c r="E813" s="41"/>
      <c r="F813" s="100"/>
    </row>
    <row r="814" ht="12.75" customHeight="1">
      <c r="A814" s="100"/>
      <c r="B814" s="93"/>
      <c r="C814" s="93"/>
      <c r="D814" s="100"/>
      <c r="E814" s="41"/>
      <c r="F814" s="100"/>
    </row>
    <row r="815" ht="12.75" customHeight="1">
      <c r="A815" s="100"/>
      <c r="B815" s="93"/>
      <c r="C815" s="93"/>
      <c r="D815" s="100"/>
      <c r="E815" s="41"/>
      <c r="F815" s="100"/>
    </row>
    <row r="816" ht="12.75" customHeight="1">
      <c r="A816" s="100"/>
      <c r="B816" s="93"/>
      <c r="C816" s="93"/>
      <c r="D816" s="100"/>
      <c r="E816" s="41"/>
      <c r="F816" s="100"/>
    </row>
    <row r="817" ht="12.75" customHeight="1">
      <c r="A817" s="100"/>
      <c r="B817" s="93"/>
      <c r="C817" s="93"/>
      <c r="D817" s="100"/>
      <c r="E817" s="41"/>
      <c r="F817" s="100"/>
    </row>
    <row r="818" ht="12.75" customHeight="1">
      <c r="A818" s="100"/>
      <c r="B818" s="93"/>
      <c r="C818" s="93"/>
      <c r="D818" s="100"/>
      <c r="E818" s="41"/>
      <c r="F818" s="100"/>
    </row>
    <row r="819" ht="12.75" customHeight="1">
      <c r="A819" s="100"/>
      <c r="B819" s="93"/>
      <c r="C819" s="93"/>
      <c r="D819" s="100"/>
      <c r="E819" s="41"/>
      <c r="F819" s="100"/>
    </row>
    <row r="820" ht="12.75" customHeight="1">
      <c r="A820" s="100"/>
      <c r="B820" s="93"/>
      <c r="C820" s="93"/>
      <c r="D820" s="100"/>
      <c r="E820" s="41"/>
      <c r="F820" s="100"/>
    </row>
    <row r="821" ht="12.75" customHeight="1">
      <c r="A821" s="100"/>
      <c r="B821" s="93"/>
      <c r="C821" s="93"/>
      <c r="D821" s="100"/>
      <c r="E821" s="41"/>
      <c r="F821" s="100"/>
    </row>
    <row r="822" ht="12.75" customHeight="1">
      <c r="A822" s="100"/>
      <c r="B822" s="93"/>
      <c r="C822" s="93"/>
      <c r="D822" s="100"/>
      <c r="E822" s="41"/>
      <c r="F822" s="100"/>
    </row>
    <row r="823" ht="12.75" customHeight="1">
      <c r="A823" s="100"/>
      <c r="B823" s="93"/>
      <c r="C823" s="93"/>
      <c r="D823" s="100"/>
      <c r="E823" s="41"/>
      <c r="F823" s="100"/>
    </row>
    <row r="824" ht="12.75" customHeight="1">
      <c r="A824" s="100"/>
      <c r="B824" s="93"/>
      <c r="C824" s="93"/>
      <c r="D824" s="100"/>
      <c r="E824" s="41"/>
      <c r="F824" s="100"/>
    </row>
    <row r="825" ht="12.75" customHeight="1">
      <c r="A825" s="100"/>
      <c r="B825" s="93"/>
      <c r="C825" s="93"/>
      <c r="D825" s="100"/>
      <c r="E825" s="41"/>
      <c r="F825" s="100"/>
    </row>
    <row r="826" ht="12.75" customHeight="1">
      <c r="A826" s="100"/>
      <c r="B826" s="93"/>
      <c r="C826" s="93"/>
      <c r="D826" s="100"/>
      <c r="E826" s="41"/>
      <c r="F826" s="100"/>
    </row>
    <row r="827" ht="12.75" customHeight="1">
      <c r="A827" s="100"/>
      <c r="B827" s="93"/>
      <c r="C827" s="93"/>
      <c r="D827" s="100"/>
      <c r="E827" s="41"/>
      <c r="F827" s="100"/>
    </row>
    <row r="828" ht="12.75" customHeight="1">
      <c r="A828" s="100"/>
      <c r="B828" s="93"/>
      <c r="C828" s="93"/>
      <c r="D828" s="100"/>
      <c r="E828" s="41"/>
      <c r="F828" s="100"/>
    </row>
    <row r="829" ht="12.75" customHeight="1">
      <c r="A829" s="100"/>
      <c r="B829" s="93"/>
      <c r="C829" s="93"/>
      <c r="D829" s="100"/>
      <c r="E829" s="41"/>
      <c r="F829" s="100"/>
    </row>
    <row r="830" ht="12.75" customHeight="1">
      <c r="A830" s="100"/>
      <c r="B830" s="93"/>
      <c r="C830" s="93"/>
      <c r="D830" s="100"/>
      <c r="E830" s="41"/>
      <c r="F830" s="100"/>
    </row>
    <row r="831" ht="12.75" customHeight="1">
      <c r="A831" s="100"/>
      <c r="B831" s="93"/>
      <c r="C831" s="93"/>
      <c r="D831" s="100"/>
      <c r="E831" s="41"/>
      <c r="F831" s="100"/>
    </row>
    <row r="832" ht="12.75" customHeight="1">
      <c r="A832" s="100"/>
      <c r="B832" s="93"/>
      <c r="C832" s="93"/>
      <c r="D832" s="100"/>
      <c r="E832" s="41"/>
      <c r="F832" s="100"/>
    </row>
    <row r="833" ht="12.75" customHeight="1">
      <c r="A833" s="100"/>
      <c r="B833" s="93"/>
      <c r="C833" s="93"/>
      <c r="D833" s="100"/>
      <c r="E833" s="41"/>
      <c r="F833" s="100"/>
    </row>
    <row r="834" ht="12.75" customHeight="1">
      <c r="A834" s="100"/>
      <c r="B834" s="93"/>
      <c r="C834" s="93"/>
      <c r="D834" s="100"/>
      <c r="E834" s="41"/>
      <c r="F834" s="100"/>
    </row>
    <row r="835" ht="12.75" customHeight="1">
      <c r="A835" s="100"/>
      <c r="B835" s="93"/>
      <c r="C835" s="93"/>
      <c r="D835" s="100"/>
      <c r="E835" s="41"/>
      <c r="F835" s="100"/>
    </row>
    <row r="836" ht="12.75" customHeight="1">
      <c r="A836" s="100"/>
      <c r="B836" s="93"/>
      <c r="C836" s="93"/>
      <c r="D836" s="100"/>
      <c r="E836" s="41"/>
      <c r="F836" s="100"/>
    </row>
    <row r="837" ht="12.75" customHeight="1">
      <c r="A837" s="100"/>
      <c r="B837" s="93"/>
      <c r="C837" s="93"/>
      <c r="D837" s="100"/>
      <c r="E837" s="41"/>
      <c r="F837" s="100"/>
    </row>
    <row r="838" ht="12.75" customHeight="1">
      <c r="A838" s="100"/>
      <c r="B838" s="93"/>
      <c r="C838" s="93"/>
      <c r="D838" s="100"/>
      <c r="E838" s="41"/>
      <c r="F838" s="100"/>
    </row>
    <row r="839" ht="12.75" customHeight="1">
      <c r="A839" s="100"/>
      <c r="B839" s="93"/>
      <c r="C839" s="93"/>
      <c r="D839" s="100"/>
      <c r="E839" s="41"/>
      <c r="F839" s="100"/>
    </row>
    <row r="840" ht="12.75" customHeight="1">
      <c r="A840" s="100"/>
      <c r="B840" s="93"/>
      <c r="C840" s="93"/>
      <c r="D840" s="100"/>
      <c r="E840" s="41"/>
      <c r="F840" s="100"/>
    </row>
    <row r="841" ht="12.75" customHeight="1">
      <c r="A841" s="100"/>
      <c r="B841" s="93"/>
      <c r="C841" s="93"/>
      <c r="D841" s="100"/>
      <c r="E841" s="41"/>
      <c r="F841" s="100"/>
    </row>
    <row r="842" ht="12.75" customHeight="1">
      <c r="A842" s="100"/>
      <c r="B842" s="93"/>
      <c r="C842" s="93"/>
      <c r="D842" s="100"/>
      <c r="E842" s="41"/>
      <c r="F842" s="100"/>
    </row>
    <row r="843" ht="12.75" customHeight="1">
      <c r="A843" s="100"/>
      <c r="B843" s="93"/>
      <c r="C843" s="93"/>
      <c r="D843" s="100"/>
      <c r="E843" s="41"/>
      <c r="F843" s="100"/>
    </row>
    <row r="844" ht="12.75" customHeight="1">
      <c r="A844" s="100"/>
      <c r="B844" s="93"/>
      <c r="C844" s="93"/>
      <c r="D844" s="100"/>
      <c r="E844" s="41"/>
      <c r="F844" s="100"/>
    </row>
    <row r="845" ht="12.75" customHeight="1">
      <c r="A845" s="100"/>
      <c r="B845" s="93"/>
      <c r="C845" s="93"/>
      <c r="D845" s="100"/>
      <c r="E845" s="41"/>
      <c r="F845" s="100"/>
    </row>
    <row r="846" ht="12.75" customHeight="1">
      <c r="A846" s="100"/>
      <c r="B846" s="93"/>
      <c r="C846" s="93"/>
      <c r="D846" s="100"/>
      <c r="E846" s="41"/>
      <c r="F846" s="100"/>
    </row>
    <row r="847" ht="12.75" customHeight="1">
      <c r="A847" s="100"/>
      <c r="B847" s="93"/>
      <c r="C847" s="93"/>
      <c r="D847" s="100"/>
      <c r="E847" s="41"/>
      <c r="F847" s="100"/>
    </row>
    <row r="848" ht="12.75" customHeight="1">
      <c r="A848" s="100"/>
      <c r="B848" s="93"/>
      <c r="C848" s="93"/>
      <c r="D848" s="100"/>
      <c r="E848" s="41"/>
      <c r="F848" s="100"/>
    </row>
    <row r="849" ht="12.75" customHeight="1">
      <c r="A849" s="100"/>
      <c r="B849" s="93"/>
      <c r="C849" s="93"/>
      <c r="D849" s="100"/>
      <c r="E849" s="41"/>
      <c r="F849" s="100"/>
    </row>
    <row r="850" ht="12.75" customHeight="1">
      <c r="A850" s="100"/>
      <c r="B850" s="93"/>
      <c r="C850" s="93"/>
      <c r="D850" s="100"/>
      <c r="E850" s="41"/>
      <c r="F850" s="100"/>
    </row>
    <row r="851" ht="12.75" customHeight="1">
      <c r="A851" s="100"/>
      <c r="B851" s="93"/>
      <c r="C851" s="93"/>
      <c r="D851" s="100"/>
      <c r="E851" s="41"/>
      <c r="F851" s="100"/>
    </row>
    <row r="852" ht="12.75" customHeight="1">
      <c r="A852" s="100"/>
      <c r="B852" s="93"/>
      <c r="C852" s="93"/>
      <c r="D852" s="100"/>
      <c r="E852" s="41"/>
      <c r="F852" s="100"/>
    </row>
    <row r="853" ht="12.75" customHeight="1">
      <c r="A853" s="100"/>
      <c r="B853" s="93"/>
      <c r="C853" s="93"/>
      <c r="D853" s="100"/>
      <c r="E853" s="41"/>
      <c r="F853" s="100"/>
    </row>
    <row r="854" ht="12.75" customHeight="1">
      <c r="A854" s="100"/>
      <c r="B854" s="93"/>
      <c r="C854" s="93"/>
      <c r="D854" s="100"/>
      <c r="E854" s="41"/>
      <c r="F854" s="100"/>
    </row>
    <row r="855" ht="12.75" customHeight="1">
      <c r="A855" s="100"/>
      <c r="B855" s="93"/>
      <c r="C855" s="93"/>
      <c r="D855" s="100"/>
      <c r="E855" s="41"/>
      <c r="F855" s="100"/>
    </row>
    <row r="856" ht="12.75" customHeight="1">
      <c r="A856" s="100"/>
      <c r="B856" s="93"/>
      <c r="C856" s="93"/>
      <c r="D856" s="100"/>
      <c r="E856" s="41"/>
      <c r="F856" s="100"/>
    </row>
    <row r="857" ht="12.75" customHeight="1">
      <c r="A857" s="100"/>
      <c r="B857" s="93"/>
      <c r="C857" s="93"/>
      <c r="D857" s="100"/>
      <c r="E857" s="41"/>
      <c r="F857" s="100"/>
    </row>
    <row r="858" ht="12.75" customHeight="1">
      <c r="A858" s="100"/>
      <c r="B858" s="93"/>
      <c r="C858" s="93"/>
      <c r="D858" s="100"/>
      <c r="E858" s="41"/>
      <c r="F858" s="100"/>
    </row>
    <row r="859" ht="12.75" customHeight="1">
      <c r="A859" s="100"/>
      <c r="B859" s="93"/>
      <c r="C859" s="93"/>
      <c r="D859" s="100"/>
      <c r="E859" s="41"/>
      <c r="F859" s="100"/>
    </row>
    <row r="860" ht="12.75" customHeight="1">
      <c r="A860" s="100"/>
      <c r="B860" s="93"/>
      <c r="C860" s="93"/>
      <c r="D860" s="100"/>
      <c r="E860" s="41"/>
      <c r="F860" s="100"/>
    </row>
    <row r="861" ht="12.75" customHeight="1">
      <c r="A861" s="100"/>
      <c r="B861" s="93"/>
      <c r="C861" s="93"/>
      <c r="D861" s="100"/>
      <c r="E861" s="41"/>
      <c r="F861" s="100"/>
    </row>
    <row r="862" ht="12.75" customHeight="1">
      <c r="A862" s="100"/>
      <c r="B862" s="93"/>
      <c r="C862" s="93"/>
      <c r="D862" s="100"/>
      <c r="E862" s="41"/>
      <c r="F862" s="100"/>
    </row>
    <row r="863" ht="12.75" customHeight="1">
      <c r="A863" s="100"/>
      <c r="B863" s="93"/>
      <c r="C863" s="93"/>
      <c r="D863" s="100"/>
      <c r="E863" s="41"/>
      <c r="F863" s="100"/>
    </row>
    <row r="864" ht="12.75" customHeight="1">
      <c r="A864" s="100"/>
      <c r="B864" s="93"/>
      <c r="C864" s="93"/>
      <c r="D864" s="100"/>
      <c r="E864" s="41"/>
      <c r="F864" s="100"/>
    </row>
    <row r="865" ht="12.75" customHeight="1">
      <c r="A865" s="100"/>
      <c r="B865" s="93"/>
      <c r="C865" s="93"/>
      <c r="D865" s="100"/>
      <c r="E865" s="41"/>
      <c r="F865" s="100"/>
    </row>
    <row r="866" ht="12.75" customHeight="1">
      <c r="A866" s="100"/>
      <c r="B866" s="93"/>
      <c r="C866" s="93"/>
      <c r="D866" s="100"/>
      <c r="E866" s="41"/>
      <c r="F866" s="100"/>
    </row>
    <row r="867" ht="12.75" customHeight="1">
      <c r="A867" s="100"/>
      <c r="B867" s="93"/>
      <c r="C867" s="93"/>
      <c r="D867" s="100"/>
      <c r="E867" s="41"/>
      <c r="F867" s="100"/>
    </row>
    <row r="868" ht="12.75" customHeight="1">
      <c r="A868" s="100"/>
      <c r="B868" s="93"/>
      <c r="C868" s="93"/>
      <c r="D868" s="100"/>
      <c r="E868" s="41"/>
      <c r="F868" s="100"/>
    </row>
    <row r="869" ht="12.75" customHeight="1">
      <c r="A869" s="100"/>
      <c r="B869" s="93"/>
      <c r="C869" s="93"/>
      <c r="D869" s="100"/>
      <c r="E869" s="41"/>
      <c r="F869" s="100"/>
    </row>
    <row r="870" ht="12.75" customHeight="1">
      <c r="A870" s="100"/>
      <c r="B870" s="93"/>
      <c r="C870" s="93"/>
      <c r="D870" s="100"/>
      <c r="E870" s="41"/>
      <c r="F870" s="100"/>
    </row>
    <row r="871" ht="12.75" customHeight="1">
      <c r="A871" s="100"/>
      <c r="B871" s="93"/>
      <c r="C871" s="93"/>
      <c r="D871" s="100"/>
      <c r="E871" s="41"/>
      <c r="F871" s="100"/>
    </row>
    <row r="872" ht="12.75" customHeight="1">
      <c r="A872" s="100"/>
      <c r="B872" s="93"/>
      <c r="C872" s="93"/>
      <c r="D872" s="100"/>
      <c r="E872" s="41"/>
      <c r="F872" s="100"/>
    </row>
    <row r="873" ht="12.75" customHeight="1">
      <c r="A873" s="100"/>
      <c r="B873" s="93"/>
      <c r="C873" s="93"/>
      <c r="D873" s="100"/>
      <c r="E873" s="41"/>
      <c r="F873" s="100"/>
    </row>
    <row r="874" ht="12.75" customHeight="1">
      <c r="A874" s="100"/>
      <c r="B874" s="93"/>
      <c r="C874" s="93"/>
      <c r="D874" s="100"/>
      <c r="E874" s="41"/>
      <c r="F874" s="100"/>
    </row>
    <row r="875" ht="12.75" customHeight="1">
      <c r="A875" s="100"/>
      <c r="B875" s="93"/>
      <c r="C875" s="93"/>
      <c r="D875" s="100"/>
      <c r="E875" s="41"/>
      <c r="F875" s="100"/>
    </row>
    <row r="876" ht="12.75" customHeight="1">
      <c r="A876" s="100"/>
      <c r="B876" s="93"/>
      <c r="C876" s="93"/>
      <c r="D876" s="100"/>
      <c r="E876" s="41"/>
      <c r="F876" s="100"/>
    </row>
    <row r="877" ht="12.75" customHeight="1">
      <c r="A877" s="100"/>
      <c r="B877" s="93"/>
      <c r="C877" s="93"/>
      <c r="D877" s="100"/>
      <c r="E877" s="41"/>
      <c r="F877" s="100"/>
    </row>
    <row r="878" ht="12.75" customHeight="1">
      <c r="A878" s="100"/>
      <c r="B878" s="93"/>
      <c r="C878" s="93"/>
      <c r="D878" s="100"/>
      <c r="E878" s="41"/>
      <c r="F878" s="100"/>
    </row>
    <row r="879" ht="12.75" customHeight="1">
      <c r="A879" s="100"/>
      <c r="B879" s="93"/>
      <c r="C879" s="93"/>
      <c r="D879" s="100"/>
      <c r="E879" s="41"/>
      <c r="F879" s="100"/>
    </row>
    <row r="880" ht="12.75" customHeight="1">
      <c r="A880" s="100"/>
      <c r="B880" s="93"/>
      <c r="C880" s="93"/>
      <c r="D880" s="100"/>
      <c r="E880" s="41"/>
      <c r="F880" s="100"/>
    </row>
    <row r="881" ht="12.75" customHeight="1">
      <c r="A881" s="100"/>
      <c r="B881" s="93"/>
      <c r="C881" s="93"/>
      <c r="D881" s="100"/>
      <c r="E881" s="41"/>
      <c r="F881" s="100"/>
    </row>
    <row r="882" ht="12.75" customHeight="1">
      <c r="A882" s="100"/>
      <c r="B882" s="93"/>
      <c r="C882" s="93"/>
      <c r="D882" s="100"/>
      <c r="E882" s="41"/>
      <c r="F882" s="100"/>
    </row>
    <row r="883" ht="12.75" customHeight="1">
      <c r="A883" s="100"/>
      <c r="B883" s="93"/>
      <c r="C883" s="93"/>
      <c r="D883" s="100"/>
      <c r="E883" s="41"/>
      <c r="F883" s="100"/>
    </row>
    <row r="884" ht="12.75" customHeight="1">
      <c r="A884" s="100"/>
      <c r="B884" s="93"/>
      <c r="C884" s="93"/>
      <c r="D884" s="100"/>
      <c r="E884" s="41"/>
      <c r="F884" s="100"/>
    </row>
    <row r="885" ht="12.75" customHeight="1">
      <c r="A885" s="100"/>
      <c r="B885" s="93"/>
      <c r="C885" s="93"/>
      <c r="D885" s="100"/>
      <c r="E885" s="41"/>
      <c r="F885" s="100"/>
    </row>
    <row r="886" ht="12.75" customHeight="1">
      <c r="A886" s="100"/>
      <c r="B886" s="93"/>
      <c r="C886" s="93"/>
      <c r="D886" s="100"/>
      <c r="E886" s="41"/>
      <c r="F886" s="100"/>
    </row>
    <row r="887" ht="12.75" customHeight="1">
      <c r="A887" s="100"/>
      <c r="B887" s="93"/>
      <c r="C887" s="93"/>
      <c r="D887" s="100"/>
      <c r="E887" s="41"/>
      <c r="F887" s="100"/>
    </row>
    <row r="888" ht="12.75" customHeight="1">
      <c r="A888" s="100"/>
      <c r="B888" s="93"/>
      <c r="C888" s="93"/>
      <c r="D888" s="100"/>
      <c r="E888" s="41"/>
      <c r="F888" s="100"/>
    </row>
    <row r="889" ht="12.75" customHeight="1">
      <c r="A889" s="100"/>
      <c r="B889" s="93"/>
      <c r="C889" s="93"/>
      <c r="D889" s="100"/>
      <c r="E889" s="41"/>
      <c r="F889" s="100"/>
    </row>
    <row r="890" ht="12.75" customHeight="1">
      <c r="A890" s="100"/>
      <c r="B890" s="93"/>
      <c r="C890" s="93"/>
      <c r="D890" s="100"/>
      <c r="E890" s="41"/>
      <c r="F890" s="100"/>
    </row>
    <row r="891" ht="12.75" customHeight="1">
      <c r="A891" s="100"/>
      <c r="B891" s="93"/>
      <c r="C891" s="93"/>
      <c r="D891" s="100"/>
      <c r="E891" s="41"/>
      <c r="F891" s="100"/>
    </row>
    <row r="892" ht="12.75" customHeight="1">
      <c r="A892" s="100"/>
      <c r="B892" s="93"/>
      <c r="C892" s="93"/>
      <c r="D892" s="100"/>
      <c r="E892" s="41"/>
      <c r="F892" s="100"/>
    </row>
    <row r="893" ht="12.75" customHeight="1">
      <c r="A893" s="100"/>
      <c r="B893" s="93"/>
      <c r="C893" s="93"/>
      <c r="D893" s="100"/>
      <c r="E893" s="41"/>
      <c r="F893" s="100"/>
    </row>
    <row r="894" ht="12.75" customHeight="1">
      <c r="A894" s="100"/>
      <c r="B894" s="93"/>
      <c r="C894" s="93"/>
      <c r="D894" s="100"/>
      <c r="E894" s="41"/>
      <c r="F894" s="100"/>
    </row>
    <row r="895" ht="12.75" customHeight="1">
      <c r="A895" s="100"/>
      <c r="B895" s="93"/>
      <c r="C895" s="93"/>
      <c r="D895" s="100"/>
      <c r="E895" s="41"/>
      <c r="F895" s="100"/>
    </row>
    <row r="896" ht="12.75" customHeight="1">
      <c r="A896" s="100"/>
      <c r="B896" s="93"/>
      <c r="C896" s="93"/>
      <c r="D896" s="100"/>
      <c r="E896" s="41"/>
      <c r="F896" s="100"/>
    </row>
    <row r="897" ht="12.75" customHeight="1">
      <c r="A897" s="100"/>
      <c r="B897" s="93"/>
      <c r="C897" s="93"/>
      <c r="D897" s="100"/>
      <c r="E897" s="41"/>
      <c r="F897" s="100"/>
    </row>
    <row r="898" ht="12.75" customHeight="1">
      <c r="A898" s="100"/>
      <c r="B898" s="93"/>
      <c r="C898" s="93"/>
      <c r="D898" s="100"/>
      <c r="E898" s="41"/>
      <c r="F898" s="100"/>
    </row>
    <row r="899" ht="12.75" customHeight="1">
      <c r="A899" s="100"/>
      <c r="B899" s="93"/>
      <c r="C899" s="93"/>
      <c r="D899" s="100"/>
      <c r="E899" s="41"/>
      <c r="F899" s="100"/>
    </row>
    <row r="900" ht="12.75" customHeight="1">
      <c r="A900" s="100"/>
      <c r="B900" s="93"/>
      <c r="C900" s="93"/>
      <c r="D900" s="100"/>
      <c r="E900" s="41"/>
      <c r="F900" s="100"/>
    </row>
    <row r="901" ht="12.75" customHeight="1">
      <c r="A901" s="100"/>
      <c r="B901" s="93"/>
      <c r="C901" s="93"/>
      <c r="D901" s="100"/>
      <c r="E901" s="41"/>
      <c r="F901" s="100"/>
    </row>
    <row r="902" ht="12.75" customHeight="1">
      <c r="A902" s="100"/>
      <c r="B902" s="93"/>
      <c r="C902" s="93"/>
      <c r="D902" s="100"/>
      <c r="E902" s="41"/>
      <c r="F902" s="100"/>
    </row>
    <row r="903" ht="12.75" customHeight="1">
      <c r="A903" s="100"/>
      <c r="B903" s="93"/>
      <c r="C903" s="93"/>
      <c r="D903" s="100"/>
      <c r="E903" s="41"/>
      <c r="F903" s="100"/>
    </row>
    <row r="904" ht="12.75" customHeight="1">
      <c r="A904" s="100"/>
      <c r="B904" s="93"/>
      <c r="C904" s="93"/>
      <c r="D904" s="100"/>
      <c r="E904" s="41"/>
      <c r="F904" s="100"/>
    </row>
    <row r="905" ht="12.75" customHeight="1">
      <c r="A905" s="100"/>
      <c r="B905" s="93"/>
      <c r="C905" s="93"/>
      <c r="D905" s="100"/>
      <c r="E905" s="41"/>
      <c r="F905" s="100"/>
    </row>
    <row r="906" ht="12.75" customHeight="1">
      <c r="A906" s="100"/>
      <c r="B906" s="93"/>
      <c r="C906" s="93"/>
      <c r="D906" s="100"/>
      <c r="E906" s="41"/>
      <c r="F906" s="100"/>
    </row>
    <row r="907" ht="12.75" customHeight="1">
      <c r="A907" s="100"/>
      <c r="B907" s="93"/>
      <c r="C907" s="93"/>
      <c r="D907" s="100"/>
      <c r="E907" s="41"/>
      <c r="F907" s="100"/>
    </row>
    <row r="908" ht="12.75" customHeight="1">
      <c r="A908" s="100"/>
      <c r="B908" s="93"/>
      <c r="C908" s="93"/>
      <c r="D908" s="100"/>
      <c r="E908" s="41"/>
      <c r="F908" s="100"/>
    </row>
    <row r="909" ht="12.75" customHeight="1">
      <c r="A909" s="100"/>
      <c r="B909" s="93"/>
      <c r="C909" s="93"/>
      <c r="D909" s="100"/>
      <c r="E909" s="41"/>
      <c r="F909" s="100"/>
    </row>
    <row r="910" ht="12.75" customHeight="1">
      <c r="A910" s="100"/>
      <c r="B910" s="93"/>
      <c r="C910" s="93"/>
      <c r="D910" s="100"/>
      <c r="E910" s="41"/>
      <c r="F910" s="100"/>
    </row>
    <row r="911" ht="12.75" customHeight="1">
      <c r="A911" s="100"/>
      <c r="B911" s="93"/>
      <c r="C911" s="93"/>
      <c r="D911" s="100"/>
      <c r="E911" s="41"/>
      <c r="F911" s="100"/>
    </row>
    <row r="912" ht="12.75" customHeight="1">
      <c r="A912" s="100"/>
      <c r="B912" s="93"/>
      <c r="C912" s="93"/>
      <c r="D912" s="100"/>
      <c r="E912" s="41"/>
      <c r="F912" s="100"/>
    </row>
    <row r="913" ht="12.75" customHeight="1">
      <c r="A913" s="100"/>
      <c r="B913" s="93"/>
      <c r="C913" s="93"/>
      <c r="D913" s="100"/>
      <c r="E913" s="41"/>
      <c r="F913" s="100"/>
    </row>
    <row r="914" ht="12.75" customHeight="1">
      <c r="A914" s="100"/>
      <c r="B914" s="93"/>
      <c r="C914" s="93"/>
      <c r="D914" s="100"/>
      <c r="E914" s="41"/>
      <c r="F914" s="100"/>
    </row>
    <row r="915" ht="12.75" customHeight="1">
      <c r="A915" s="100"/>
      <c r="B915" s="93"/>
      <c r="C915" s="93"/>
      <c r="D915" s="100"/>
      <c r="E915" s="41"/>
      <c r="F915" s="100"/>
    </row>
    <row r="916" ht="12.75" customHeight="1">
      <c r="A916" s="100"/>
      <c r="B916" s="93"/>
      <c r="C916" s="93"/>
      <c r="D916" s="100"/>
      <c r="E916" s="41"/>
      <c r="F916" s="100"/>
    </row>
    <row r="917" ht="12.75" customHeight="1">
      <c r="A917" s="100"/>
      <c r="B917" s="93"/>
      <c r="C917" s="93"/>
      <c r="D917" s="100"/>
      <c r="E917" s="41"/>
      <c r="F917" s="100"/>
    </row>
    <row r="918" ht="12.75" customHeight="1">
      <c r="A918" s="100"/>
      <c r="B918" s="93"/>
      <c r="C918" s="93"/>
      <c r="D918" s="100"/>
      <c r="E918" s="41"/>
      <c r="F918" s="100"/>
    </row>
    <row r="919" ht="12.75" customHeight="1">
      <c r="A919" s="100"/>
      <c r="B919" s="93"/>
      <c r="C919" s="93"/>
      <c r="D919" s="100"/>
      <c r="E919" s="41"/>
      <c r="F919" s="100"/>
    </row>
    <row r="920" ht="12.75" customHeight="1">
      <c r="A920" s="100"/>
      <c r="B920" s="93"/>
      <c r="C920" s="93"/>
      <c r="D920" s="100"/>
      <c r="E920" s="41"/>
      <c r="F920" s="100"/>
    </row>
    <row r="921" ht="12.75" customHeight="1">
      <c r="A921" s="100"/>
      <c r="B921" s="93"/>
      <c r="C921" s="93"/>
      <c r="D921" s="100"/>
      <c r="E921" s="41"/>
      <c r="F921" s="100"/>
    </row>
    <row r="922" ht="12.75" customHeight="1">
      <c r="A922" s="100"/>
      <c r="B922" s="93"/>
      <c r="C922" s="93"/>
      <c r="D922" s="100"/>
      <c r="E922" s="41"/>
      <c r="F922" s="100"/>
    </row>
    <row r="923" ht="12.75" customHeight="1">
      <c r="A923" s="100"/>
      <c r="B923" s="93"/>
      <c r="C923" s="93"/>
      <c r="D923" s="100"/>
      <c r="E923" s="41"/>
      <c r="F923" s="100"/>
    </row>
    <row r="924" ht="12.75" customHeight="1">
      <c r="A924" s="100"/>
      <c r="B924" s="93"/>
      <c r="C924" s="93"/>
      <c r="D924" s="100"/>
      <c r="E924" s="41"/>
      <c r="F924" s="100"/>
    </row>
    <row r="925" ht="12.75" customHeight="1">
      <c r="A925" s="100"/>
      <c r="B925" s="93"/>
      <c r="C925" s="93"/>
      <c r="D925" s="100"/>
      <c r="E925" s="41"/>
      <c r="F925" s="100"/>
    </row>
    <row r="926" ht="12.75" customHeight="1">
      <c r="A926" s="100"/>
      <c r="B926" s="93"/>
      <c r="C926" s="93"/>
      <c r="D926" s="100"/>
      <c r="E926" s="41"/>
      <c r="F926" s="100"/>
    </row>
    <row r="927" ht="12.75" customHeight="1">
      <c r="A927" s="100"/>
      <c r="B927" s="93"/>
      <c r="C927" s="93"/>
      <c r="D927" s="100"/>
      <c r="E927" s="41"/>
      <c r="F927" s="100"/>
    </row>
    <row r="928" ht="12.75" customHeight="1">
      <c r="A928" s="100"/>
      <c r="B928" s="93"/>
      <c r="C928" s="93"/>
      <c r="D928" s="100"/>
      <c r="E928" s="41"/>
      <c r="F928" s="100"/>
    </row>
    <row r="929" ht="12.75" customHeight="1">
      <c r="A929" s="100"/>
      <c r="B929" s="93"/>
      <c r="C929" s="93"/>
      <c r="D929" s="100"/>
      <c r="E929" s="41"/>
      <c r="F929" s="100"/>
    </row>
    <row r="930" ht="12.75" customHeight="1">
      <c r="A930" s="100"/>
      <c r="B930" s="93"/>
      <c r="C930" s="93"/>
      <c r="D930" s="100"/>
      <c r="E930" s="41"/>
      <c r="F930" s="100"/>
    </row>
    <row r="931" ht="12.75" customHeight="1">
      <c r="A931" s="100"/>
      <c r="B931" s="93"/>
      <c r="C931" s="93"/>
      <c r="D931" s="100"/>
      <c r="E931" s="41"/>
      <c r="F931" s="100"/>
    </row>
    <row r="932" ht="12.75" customHeight="1">
      <c r="A932" s="100"/>
      <c r="B932" s="93"/>
      <c r="C932" s="93"/>
      <c r="D932" s="100"/>
      <c r="E932" s="41"/>
      <c r="F932" s="100"/>
    </row>
    <row r="933" ht="12.75" customHeight="1">
      <c r="A933" s="100"/>
      <c r="B933" s="93"/>
      <c r="C933" s="93"/>
      <c r="D933" s="100"/>
      <c r="E933" s="41"/>
      <c r="F933" s="100"/>
    </row>
    <row r="934" ht="12.75" customHeight="1">
      <c r="A934" s="100"/>
      <c r="B934" s="93"/>
      <c r="C934" s="93"/>
      <c r="D934" s="100"/>
      <c r="E934" s="41"/>
      <c r="F934" s="100"/>
    </row>
    <row r="935" ht="12.75" customHeight="1">
      <c r="A935" s="100"/>
      <c r="B935" s="93"/>
      <c r="C935" s="93"/>
      <c r="D935" s="100"/>
      <c r="E935" s="41"/>
      <c r="F935" s="100"/>
    </row>
    <row r="936" ht="12.75" customHeight="1">
      <c r="A936" s="100"/>
      <c r="B936" s="93"/>
      <c r="C936" s="93"/>
      <c r="D936" s="100"/>
      <c r="E936" s="41"/>
      <c r="F936" s="100"/>
    </row>
    <row r="937" ht="12.75" customHeight="1">
      <c r="A937" s="100"/>
      <c r="B937" s="93"/>
      <c r="C937" s="93"/>
      <c r="D937" s="100"/>
      <c r="E937" s="41"/>
      <c r="F937" s="100"/>
    </row>
    <row r="938" ht="12.75" customHeight="1">
      <c r="A938" s="100"/>
      <c r="B938" s="93"/>
      <c r="C938" s="93"/>
      <c r="D938" s="100"/>
      <c r="E938" s="41"/>
      <c r="F938" s="100"/>
    </row>
    <row r="939" ht="12.75" customHeight="1">
      <c r="A939" s="100"/>
      <c r="B939" s="93"/>
      <c r="C939" s="93"/>
      <c r="D939" s="100"/>
      <c r="E939" s="41"/>
      <c r="F939" s="100"/>
    </row>
    <row r="940" ht="12.75" customHeight="1">
      <c r="A940" s="100"/>
      <c r="B940" s="93"/>
      <c r="C940" s="93"/>
      <c r="D940" s="100"/>
      <c r="E940" s="41"/>
      <c r="F940" s="100"/>
    </row>
    <row r="941" ht="12.75" customHeight="1">
      <c r="A941" s="100"/>
      <c r="B941" s="93"/>
      <c r="C941" s="93"/>
      <c r="D941" s="100"/>
      <c r="E941" s="41"/>
      <c r="F941" s="100"/>
    </row>
    <row r="942" ht="12.75" customHeight="1">
      <c r="A942" s="100"/>
      <c r="B942" s="93"/>
      <c r="C942" s="93"/>
      <c r="D942" s="100"/>
      <c r="E942" s="41"/>
      <c r="F942" s="100"/>
    </row>
    <row r="943" ht="12.75" customHeight="1">
      <c r="A943" s="100"/>
      <c r="B943" s="93"/>
      <c r="C943" s="93"/>
      <c r="D943" s="100"/>
      <c r="E943" s="41"/>
      <c r="F943" s="100"/>
    </row>
    <row r="944" ht="12.75" customHeight="1">
      <c r="A944" s="100"/>
      <c r="B944" s="93"/>
      <c r="C944" s="93"/>
      <c r="D944" s="100"/>
      <c r="E944" s="41"/>
      <c r="F944" s="100"/>
    </row>
    <row r="945" ht="12.75" customHeight="1">
      <c r="A945" s="100"/>
      <c r="B945" s="93"/>
      <c r="C945" s="93"/>
      <c r="D945" s="100"/>
      <c r="E945" s="41"/>
      <c r="F945" s="100"/>
    </row>
    <row r="946" ht="12.75" customHeight="1">
      <c r="A946" s="100"/>
      <c r="B946" s="93"/>
      <c r="C946" s="93"/>
      <c r="D946" s="100"/>
      <c r="E946" s="41"/>
      <c r="F946" s="100"/>
    </row>
    <row r="947" ht="12.75" customHeight="1">
      <c r="A947" s="100"/>
      <c r="B947" s="93"/>
      <c r="C947" s="93"/>
      <c r="D947" s="100"/>
      <c r="E947" s="41"/>
      <c r="F947" s="100"/>
    </row>
    <row r="948" ht="12.75" customHeight="1">
      <c r="A948" s="100"/>
      <c r="B948" s="93"/>
      <c r="C948" s="93"/>
      <c r="D948" s="100"/>
      <c r="E948" s="41"/>
      <c r="F948" s="100"/>
    </row>
    <row r="949" ht="12.75" customHeight="1">
      <c r="A949" s="100"/>
      <c r="B949" s="93"/>
      <c r="C949" s="93"/>
      <c r="D949" s="100"/>
      <c r="E949" s="41"/>
      <c r="F949" s="100"/>
    </row>
    <row r="950" ht="12.75" customHeight="1">
      <c r="A950" s="100"/>
      <c r="B950" s="93"/>
      <c r="C950" s="93"/>
      <c r="D950" s="100"/>
      <c r="E950" s="41"/>
      <c r="F950" s="100"/>
    </row>
    <row r="951" ht="12.75" customHeight="1">
      <c r="A951" s="100"/>
      <c r="B951" s="93"/>
      <c r="C951" s="93"/>
      <c r="D951" s="100"/>
      <c r="E951" s="41"/>
      <c r="F951" s="100"/>
    </row>
    <row r="952" ht="12.75" customHeight="1">
      <c r="A952" s="100"/>
      <c r="B952" s="93"/>
      <c r="C952" s="93"/>
      <c r="D952" s="100"/>
      <c r="E952" s="41"/>
      <c r="F952" s="100"/>
    </row>
    <row r="953" ht="12.75" customHeight="1">
      <c r="A953" s="100"/>
      <c r="B953" s="93"/>
      <c r="C953" s="93"/>
      <c r="D953" s="100"/>
      <c r="E953" s="41"/>
      <c r="F953" s="100"/>
    </row>
    <row r="954" ht="12.75" customHeight="1">
      <c r="A954" s="100"/>
      <c r="B954" s="93"/>
      <c r="C954" s="93"/>
      <c r="D954" s="100"/>
      <c r="E954" s="41"/>
      <c r="F954" s="100"/>
    </row>
    <row r="955" ht="12.75" customHeight="1">
      <c r="A955" s="100"/>
      <c r="B955" s="93"/>
      <c r="C955" s="93"/>
      <c r="D955" s="100"/>
      <c r="E955" s="41"/>
      <c r="F955" s="100"/>
    </row>
    <row r="956" ht="12.75" customHeight="1">
      <c r="A956" s="100"/>
      <c r="B956" s="93"/>
      <c r="C956" s="93"/>
      <c r="D956" s="100"/>
      <c r="E956" s="41"/>
      <c r="F956" s="100"/>
    </row>
    <row r="957" ht="12.75" customHeight="1">
      <c r="A957" s="100"/>
      <c r="B957" s="93"/>
      <c r="C957" s="93"/>
      <c r="D957" s="100"/>
      <c r="E957" s="41"/>
      <c r="F957" s="100"/>
    </row>
    <row r="958" ht="12.75" customHeight="1">
      <c r="A958" s="100"/>
      <c r="B958" s="93"/>
      <c r="C958" s="93"/>
      <c r="D958" s="100"/>
      <c r="E958" s="41"/>
      <c r="F958" s="100"/>
    </row>
    <row r="959" ht="12.75" customHeight="1">
      <c r="A959" s="100"/>
      <c r="B959" s="93"/>
      <c r="C959" s="93"/>
      <c r="D959" s="100"/>
      <c r="E959" s="41"/>
      <c r="F959" s="100"/>
    </row>
    <row r="960" ht="12.75" customHeight="1">
      <c r="A960" s="100"/>
      <c r="B960" s="93"/>
      <c r="C960" s="93"/>
      <c r="D960" s="100"/>
      <c r="E960" s="41"/>
      <c r="F960" s="100"/>
    </row>
    <row r="961" ht="12.75" customHeight="1">
      <c r="A961" s="100"/>
      <c r="B961" s="93"/>
      <c r="C961" s="93"/>
      <c r="D961" s="100"/>
      <c r="E961" s="41"/>
      <c r="F961" s="100"/>
    </row>
    <row r="962" ht="12.75" customHeight="1">
      <c r="A962" s="100"/>
      <c r="B962" s="93"/>
      <c r="C962" s="93"/>
      <c r="D962" s="100"/>
      <c r="E962" s="41"/>
      <c r="F962" s="100"/>
    </row>
    <row r="963" ht="12.75" customHeight="1">
      <c r="A963" s="100"/>
      <c r="B963" s="93"/>
      <c r="C963" s="93"/>
      <c r="D963" s="100"/>
      <c r="E963" s="41"/>
      <c r="F963" s="100"/>
    </row>
    <row r="964" ht="12.75" customHeight="1">
      <c r="A964" s="100"/>
      <c r="B964" s="93"/>
      <c r="C964" s="93"/>
      <c r="D964" s="100"/>
      <c r="E964" s="41"/>
      <c r="F964" s="100"/>
    </row>
    <row r="965" ht="12.75" customHeight="1">
      <c r="A965" s="100"/>
      <c r="B965" s="93"/>
      <c r="C965" s="93"/>
      <c r="D965" s="100"/>
      <c r="E965" s="41"/>
      <c r="F965" s="100"/>
    </row>
    <row r="966" ht="12.75" customHeight="1">
      <c r="A966" s="100"/>
      <c r="B966" s="93"/>
      <c r="C966" s="93"/>
      <c r="D966" s="100"/>
      <c r="E966" s="41"/>
      <c r="F966" s="100"/>
    </row>
    <row r="967" ht="12.75" customHeight="1">
      <c r="A967" s="100"/>
      <c r="B967" s="93"/>
      <c r="C967" s="93"/>
      <c r="D967" s="100"/>
      <c r="E967" s="41"/>
      <c r="F967" s="100"/>
    </row>
    <row r="968" ht="12.75" customHeight="1">
      <c r="A968" s="100"/>
      <c r="B968" s="93"/>
      <c r="C968" s="93"/>
      <c r="D968" s="100"/>
      <c r="E968" s="41"/>
      <c r="F968" s="100"/>
    </row>
    <row r="969" ht="12.75" customHeight="1">
      <c r="A969" s="100"/>
      <c r="B969" s="93"/>
      <c r="C969" s="93"/>
      <c r="D969" s="100"/>
      <c r="E969" s="41"/>
      <c r="F969" s="100"/>
    </row>
    <row r="970" ht="12.75" customHeight="1">
      <c r="A970" s="100"/>
      <c r="B970" s="93"/>
      <c r="C970" s="93"/>
      <c r="D970" s="100"/>
      <c r="E970" s="41"/>
      <c r="F970" s="100"/>
    </row>
    <row r="971" ht="12.75" customHeight="1">
      <c r="A971" s="100"/>
      <c r="B971" s="93"/>
      <c r="C971" s="93"/>
      <c r="D971" s="100"/>
      <c r="E971" s="41"/>
      <c r="F971" s="100"/>
    </row>
    <row r="972" ht="12.75" customHeight="1">
      <c r="A972" s="100"/>
      <c r="B972" s="93"/>
      <c r="C972" s="93"/>
      <c r="D972" s="100"/>
      <c r="E972" s="41"/>
      <c r="F972" s="100"/>
    </row>
    <row r="973" ht="12.75" customHeight="1">
      <c r="A973" s="100"/>
      <c r="B973" s="93"/>
      <c r="C973" s="93"/>
      <c r="D973" s="100"/>
      <c r="E973" s="41"/>
      <c r="F973" s="100"/>
    </row>
    <row r="974" ht="12.75" customHeight="1">
      <c r="A974" s="100"/>
      <c r="B974" s="93"/>
      <c r="C974" s="93"/>
      <c r="D974" s="100"/>
      <c r="E974" s="41"/>
      <c r="F974" s="100"/>
    </row>
    <row r="975" ht="12.75" customHeight="1">
      <c r="A975" s="100"/>
      <c r="B975" s="93"/>
      <c r="C975" s="93"/>
      <c r="D975" s="100"/>
      <c r="E975" s="41"/>
      <c r="F975" s="100"/>
    </row>
    <row r="976" ht="12.75" customHeight="1">
      <c r="A976" s="100"/>
      <c r="B976" s="93"/>
      <c r="C976" s="93"/>
      <c r="D976" s="100"/>
      <c r="E976" s="41"/>
      <c r="F976" s="100"/>
    </row>
    <row r="977" ht="12.75" customHeight="1">
      <c r="A977" s="100"/>
      <c r="B977" s="93"/>
      <c r="C977" s="93"/>
      <c r="D977" s="100"/>
      <c r="E977" s="41"/>
      <c r="F977" s="100"/>
    </row>
    <row r="978" ht="12.75" customHeight="1">
      <c r="A978" s="100"/>
      <c r="B978" s="93"/>
      <c r="C978" s="93"/>
      <c r="D978" s="100"/>
      <c r="E978" s="41"/>
      <c r="F978" s="100"/>
    </row>
    <row r="979" ht="12.75" customHeight="1">
      <c r="A979" s="100"/>
      <c r="B979" s="93"/>
      <c r="C979" s="93"/>
      <c r="D979" s="100"/>
      <c r="E979" s="41"/>
      <c r="F979" s="100"/>
    </row>
    <row r="980" ht="12.75" customHeight="1">
      <c r="A980" s="100"/>
      <c r="B980" s="93"/>
      <c r="C980" s="93"/>
      <c r="D980" s="100"/>
      <c r="E980" s="41"/>
      <c r="F980" s="100"/>
    </row>
    <row r="981" ht="12.75" customHeight="1">
      <c r="A981" s="100"/>
      <c r="B981" s="93"/>
      <c r="C981" s="93"/>
      <c r="D981" s="100"/>
      <c r="E981" s="41"/>
      <c r="F981" s="100"/>
    </row>
    <row r="982" ht="12.75" customHeight="1">
      <c r="A982" s="100"/>
      <c r="B982" s="93"/>
      <c r="C982" s="93"/>
      <c r="D982" s="100"/>
      <c r="E982" s="41"/>
      <c r="F982" s="100"/>
    </row>
    <row r="983" ht="12.75" customHeight="1">
      <c r="A983" s="100"/>
      <c r="B983" s="93"/>
      <c r="C983" s="93"/>
      <c r="D983" s="100"/>
      <c r="E983" s="41"/>
      <c r="F983" s="100"/>
    </row>
    <row r="984" ht="12.75" customHeight="1">
      <c r="A984" s="100"/>
      <c r="B984" s="93"/>
      <c r="C984" s="93"/>
      <c r="D984" s="100"/>
      <c r="E984" s="41"/>
      <c r="F984" s="100"/>
    </row>
    <row r="985" ht="12.75" customHeight="1">
      <c r="A985" s="100"/>
      <c r="B985" s="93"/>
      <c r="C985" s="93"/>
      <c r="D985" s="100"/>
      <c r="E985" s="41"/>
      <c r="F985" s="100"/>
    </row>
    <row r="986" ht="12.75" customHeight="1">
      <c r="A986" s="100"/>
      <c r="B986" s="93"/>
      <c r="C986" s="93"/>
      <c r="D986" s="100"/>
      <c r="E986" s="41"/>
      <c r="F986" s="100"/>
    </row>
    <row r="987" ht="12.75" customHeight="1">
      <c r="A987" s="100"/>
      <c r="B987" s="93"/>
      <c r="C987" s="93"/>
      <c r="D987" s="100"/>
      <c r="E987" s="41"/>
      <c r="F987" s="100"/>
    </row>
    <row r="988" ht="12.75" customHeight="1">
      <c r="A988" s="100"/>
      <c r="B988" s="93"/>
      <c r="C988" s="93"/>
      <c r="D988" s="100"/>
      <c r="E988" s="41"/>
      <c r="F988" s="100"/>
    </row>
    <row r="989" ht="12.75" customHeight="1">
      <c r="A989" s="100"/>
      <c r="B989" s="93"/>
      <c r="C989" s="93"/>
      <c r="D989" s="100"/>
      <c r="E989" s="41"/>
      <c r="F989" s="100"/>
    </row>
    <row r="990" ht="12.75" customHeight="1">
      <c r="A990" s="100"/>
      <c r="B990" s="93"/>
      <c r="C990" s="93"/>
      <c r="D990" s="100"/>
      <c r="E990" s="41"/>
      <c r="F990" s="100"/>
    </row>
    <row r="991" ht="12.75" customHeight="1">
      <c r="A991" s="100"/>
      <c r="B991" s="93"/>
      <c r="C991" s="93"/>
      <c r="D991" s="100"/>
      <c r="E991" s="41"/>
      <c r="F991" s="100"/>
    </row>
    <row r="992" ht="12.75" customHeight="1">
      <c r="A992" s="100"/>
      <c r="B992" s="93"/>
      <c r="C992" s="93"/>
      <c r="D992" s="100"/>
      <c r="E992" s="41"/>
      <c r="F992" s="100"/>
    </row>
    <row r="993" ht="12.75" customHeight="1">
      <c r="A993" s="100"/>
      <c r="B993" s="93"/>
      <c r="C993" s="93"/>
      <c r="D993" s="100"/>
      <c r="E993" s="41"/>
      <c r="F993" s="100"/>
    </row>
    <row r="994" ht="12.75" customHeight="1">
      <c r="A994" s="100"/>
      <c r="B994" s="93"/>
      <c r="C994" s="93"/>
      <c r="D994" s="100"/>
      <c r="E994" s="41"/>
      <c r="F994" s="100"/>
    </row>
    <row r="995" ht="12.75" customHeight="1">
      <c r="A995" s="100"/>
      <c r="B995" s="93"/>
      <c r="C995" s="93"/>
      <c r="D995" s="100"/>
      <c r="E995" s="41"/>
      <c r="F995" s="100"/>
    </row>
    <row r="996" ht="12.75" customHeight="1">
      <c r="A996" s="100"/>
      <c r="B996" s="93"/>
      <c r="C996" s="93"/>
      <c r="D996" s="100"/>
      <c r="E996" s="41"/>
      <c r="F996" s="100"/>
    </row>
    <row r="997" ht="12.75" customHeight="1">
      <c r="A997" s="100"/>
      <c r="B997" s="93"/>
      <c r="C997" s="93"/>
      <c r="D997" s="100"/>
      <c r="E997" s="41"/>
      <c r="F997" s="100"/>
    </row>
    <row r="998" ht="12.75" customHeight="1">
      <c r="A998" s="100"/>
      <c r="B998" s="93"/>
      <c r="C998" s="93"/>
      <c r="D998" s="100"/>
      <c r="E998" s="41"/>
      <c r="F998" s="100"/>
    </row>
    <row r="999" ht="12.75" customHeight="1">
      <c r="A999" s="100"/>
      <c r="B999" s="93"/>
      <c r="C999" s="93"/>
      <c r="D999" s="100"/>
      <c r="E999" s="41"/>
      <c r="F999" s="100"/>
    </row>
    <row r="1000" ht="12.75" customHeight="1">
      <c r="A1000" s="100"/>
      <c r="B1000" s="93"/>
      <c r="C1000" s="93"/>
      <c r="D1000" s="100"/>
      <c r="E1000" s="41"/>
      <c r="F1000" s="100"/>
    </row>
  </sheetData>
  <mergeCells count="5">
    <mergeCell ref="A1:F1"/>
    <mergeCell ref="H2:I2"/>
    <mergeCell ref="H11:I11"/>
    <mergeCell ref="H12:I12"/>
    <mergeCell ref="H13:I13"/>
  </mergeCells>
  <conditionalFormatting sqref="H9">
    <cfRule type="containsText" dxfId="9" priority="1" operator="containsText" text="Completed">
      <formula>NOT(ISERROR(SEARCH(("Completed"),(H9))))</formula>
    </cfRule>
  </conditionalFormatting>
  <conditionalFormatting sqref="H9">
    <cfRule type="containsText" dxfId="10" priority="2" operator="containsText" text="Pending">
      <formula>NOT(ISERROR(SEARCH(("Pending"),(H9))))</formula>
    </cfRule>
  </conditionalFormatting>
  <conditionalFormatting sqref="I3:I9">
    <cfRule type="containsText" dxfId="0" priority="3" operator="containsText" text="Done">
      <formula>NOT(ISERROR(SEARCH(("Done"),(I3))))</formula>
    </cfRule>
  </conditionalFormatting>
  <conditionalFormatting sqref="I3:I9">
    <cfRule type="containsText" dxfId="1" priority="4" operator="containsText" text="In Progress">
      <formula>NOT(ISERROR(SEARCH(("In Progress"),(I3))))</formula>
    </cfRule>
  </conditionalFormatting>
  <conditionalFormatting sqref="I3:I9">
    <cfRule type="containsText" dxfId="11" priority="5" operator="containsText" text="Not Started">
      <formula>NOT(ISERROR(SEARCH(("Not Started"),(I3))))</formula>
    </cfRule>
  </conditionalFormatting>
  <conditionalFormatting sqref="I3:I9">
    <cfRule type="containsText" dxfId="3" priority="6" operator="containsText" text="NA">
      <formula>NOT(ISERROR(SEARCH(("NA"),(I3))))</formula>
    </cfRule>
  </conditionalFormatting>
  <conditionalFormatting sqref="I7">
    <cfRule type="containsText" dxfId="12" priority="7" operator="containsText" text="Issue Triggered">
      <formula>NOT(ISERROR(SEARCH(("Issue Triggered"),(I7))))</formula>
    </cfRule>
  </conditionalFormatting>
  <conditionalFormatting sqref="D2 I3:I9">
    <cfRule type="containsText" dxfId="13" priority="8" operator="containsText" text="PASS">
      <formula>NOT(ISERROR(SEARCH(("PASS"),(D2))))</formula>
    </cfRule>
  </conditionalFormatting>
  <conditionalFormatting sqref="D2 I3:I9">
    <cfRule type="containsText" dxfId="14" priority="9" operator="containsText" text="CHECK">
      <formula>NOT(ISERROR(SEARCH(("CHECK"),(D2))))</formula>
    </cfRule>
  </conditionalFormatting>
  <conditionalFormatting sqref="D2 I3:I9">
    <cfRule type="containsText" dxfId="15" priority="10" operator="containsText" text="PROBLEM">
      <formula>NOT(ISERROR(SEARCH(("PROBLEM"),(D2))))</formula>
    </cfRule>
  </conditionalFormatting>
  <conditionalFormatting sqref="D2 I3:I9">
    <cfRule type="containsText" dxfId="16" priority="11" operator="containsText" text="NOT CHECKED">
      <formula>NOT(ISERROR(SEARCH(("NOT CHECKED"),(D2))))</formula>
    </cfRule>
  </conditionalFormatting>
  <conditionalFormatting sqref="D2 I3:I9">
    <cfRule type="containsText" dxfId="17" priority="12" operator="containsText" text="NOT USED">
      <formula>NOT(ISERROR(SEARCH(("NOT USED"),(D2))))</formula>
    </cfRule>
  </conditionalFormatting>
  <conditionalFormatting sqref="D2 I3:I9">
    <cfRule type="containsText" dxfId="18" priority="13" operator="containsText" text="N/A">
      <formula>NOT(ISERROR(SEARCH(("N/A"),(D2))))</formula>
    </cfRule>
  </conditionalFormatting>
  <conditionalFormatting sqref="E3:E1000">
    <cfRule type="containsText" dxfId="19" priority="14" operator="containsText" text="Okay">
      <formula>NOT(ISERROR(SEARCH(("Okay"),(E3))))</formula>
    </cfRule>
  </conditionalFormatting>
  <conditionalFormatting sqref="E3:E1000">
    <cfRule type="containsText" dxfId="11" priority="15" operator="containsText" text="Not Required">
      <formula>NOT(ISERROR(SEARCH(("Not Required"),(E3))))</formula>
    </cfRule>
  </conditionalFormatting>
  <dataValidations>
    <dataValidation type="list" allowBlank="1" showInputMessage="1" showErrorMessage="1" prompt="Select Status" sqref="E3:E1000">
      <formula1>"Okay,Not Required"</formula1>
    </dataValidation>
  </dataValidations>
  <hyperlinks>
    <hyperlink display="Previous" location="' General Points'!A1" ref="H11"/>
    <hyperlink display="Home" location="Overview!A1" ref="H12"/>
    <hyperlink display="Next" location="'Annexure-II'!A1" ref="H13"/>
  </hyperlink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2.25"/>
    <col customWidth="1" min="3" max="3" width="12.88"/>
    <col customWidth="1" min="4" max="4" width="38.13"/>
    <col customWidth="1" min="5" max="5" width="15.63"/>
    <col customWidth="1" min="6" max="6" width="30.5"/>
    <col customWidth="1" min="9" max="9" width="13.13"/>
  </cols>
  <sheetData>
    <row r="1" ht="12.75" customHeight="1">
      <c r="A1" s="1" t="s">
        <v>155</v>
      </c>
      <c r="B1" s="2"/>
      <c r="C1" s="2"/>
      <c r="D1" s="2"/>
      <c r="E1" s="2"/>
      <c r="F1" s="3"/>
      <c r="I1" s="89"/>
      <c r="J1" s="89"/>
    </row>
    <row r="2" ht="20.25" customHeight="1">
      <c r="A2" s="8" t="s">
        <v>2</v>
      </c>
      <c r="B2" s="9" t="s">
        <v>156</v>
      </c>
      <c r="C2" s="36" t="s">
        <v>157</v>
      </c>
      <c r="D2" s="36" t="s">
        <v>158</v>
      </c>
      <c r="E2" s="36" t="s">
        <v>7</v>
      </c>
      <c r="F2" s="37" t="s">
        <v>8</v>
      </c>
      <c r="G2" s="90"/>
      <c r="H2" s="38" t="s">
        <v>59</v>
      </c>
      <c r="I2" s="3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2.75" customHeight="1">
      <c r="A3" s="91"/>
      <c r="B3" s="73"/>
      <c r="C3" s="41"/>
      <c r="D3" s="73"/>
      <c r="E3" s="101"/>
      <c r="F3" s="92"/>
      <c r="H3" s="43">
        <f>COUNTIF(E:E,"Done")</f>
        <v>0</v>
      </c>
      <c r="I3" s="41" t="s">
        <v>62</v>
      </c>
    </row>
    <row r="4" ht="12.75" customHeight="1">
      <c r="A4" s="91"/>
      <c r="B4" s="73"/>
      <c r="C4" s="41"/>
      <c r="D4" s="73"/>
      <c r="E4" s="101"/>
      <c r="F4" s="92"/>
      <c r="H4" s="43">
        <f>COUNTIF(E:E,"In Progress")</f>
        <v>0</v>
      </c>
      <c r="I4" s="41" t="s">
        <v>64</v>
      </c>
    </row>
    <row r="5" ht="12.75" customHeight="1">
      <c r="A5" s="91"/>
      <c r="B5" s="93"/>
      <c r="C5" s="41"/>
      <c r="D5" s="73"/>
      <c r="E5" s="101"/>
      <c r="F5" s="92"/>
      <c r="H5" s="43">
        <f>COUNTIF(E:E,"Issue Triggered")</f>
        <v>0</v>
      </c>
      <c r="I5" s="46" t="s">
        <v>15</v>
      </c>
    </row>
    <row r="6" ht="12.75" customHeight="1">
      <c r="A6" s="91"/>
      <c r="B6" s="73"/>
      <c r="C6" s="41"/>
      <c r="D6" s="73"/>
      <c r="E6" s="101"/>
      <c r="F6" s="92"/>
      <c r="H6" s="43">
        <f t="shared" ref="H6:H7" si="1">COUNTIF(E:E,"NA")</f>
        <v>0</v>
      </c>
      <c r="I6" s="47" t="s">
        <v>67</v>
      </c>
    </row>
    <row r="7" ht="12.75" customHeight="1">
      <c r="A7" s="91"/>
      <c r="B7" s="73"/>
      <c r="C7" s="41"/>
      <c r="D7" s="73"/>
      <c r="E7" s="101"/>
      <c r="F7" s="92"/>
      <c r="H7" s="43">
        <f t="shared" si="1"/>
        <v>0</v>
      </c>
      <c r="I7" s="48" t="s">
        <v>61</v>
      </c>
    </row>
    <row r="8" ht="12.75" customHeight="1">
      <c r="A8" s="91"/>
      <c r="B8" s="73"/>
      <c r="C8" s="41"/>
      <c r="D8" s="73"/>
      <c r="E8" s="101"/>
      <c r="F8" s="92"/>
      <c r="H8" s="43">
        <f>COUNTIF(C4:C1334,"&lt;&gt;")</f>
        <v>0</v>
      </c>
      <c r="I8" s="49" t="s">
        <v>70</v>
      </c>
    </row>
    <row r="9" ht="12.75" customHeight="1">
      <c r="A9" s="91"/>
      <c r="B9" s="73"/>
      <c r="C9" s="41"/>
      <c r="D9" s="73"/>
      <c r="E9" s="101"/>
      <c r="F9" s="92"/>
      <c r="H9" s="66" t="str">
        <f>IF((H8)=(H3+H7),"Completed","Pending")</f>
        <v>Completed</v>
      </c>
      <c r="I9" s="51" t="s">
        <v>72</v>
      </c>
    </row>
    <row r="10" ht="12.75" customHeight="1">
      <c r="A10" s="91"/>
      <c r="B10" s="73"/>
      <c r="C10" s="41"/>
      <c r="D10" s="73"/>
      <c r="E10" s="101"/>
      <c r="F10" s="92"/>
    </row>
    <row r="11" ht="12.75" customHeight="1">
      <c r="A11" s="91"/>
      <c r="B11" s="73"/>
      <c r="C11" s="41"/>
      <c r="D11" s="73"/>
      <c r="E11" s="101"/>
      <c r="F11" s="92"/>
      <c r="H11" s="81" t="s">
        <v>137</v>
      </c>
      <c r="I11" s="6"/>
    </row>
    <row r="12" ht="12.75" customHeight="1">
      <c r="A12" s="91"/>
      <c r="B12" s="73"/>
      <c r="C12" s="41"/>
      <c r="D12" s="73"/>
      <c r="E12" s="101"/>
      <c r="F12" s="92"/>
      <c r="H12" s="82" t="s">
        <v>77</v>
      </c>
      <c r="I12" s="6"/>
    </row>
    <row r="13" ht="12.75" customHeight="1">
      <c r="A13" s="91"/>
      <c r="B13" s="73"/>
      <c r="C13" s="41"/>
      <c r="D13" s="73"/>
      <c r="E13" s="101"/>
      <c r="F13" s="92"/>
      <c r="H13" s="81" t="s">
        <v>79</v>
      </c>
      <c r="I13" s="6"/>
    </row>
    <row r="14" ht="12.75" customHeight="1">
      <c r="A14" s="91"/>
      <c r="B14" s="73"/>
      <c r="C14" s="41"/>
      <c r="D14" s="73"/>
      <c r="E14" s="101"/>
      <c r="F14" s="92"/>
    </row>
    <row r="15" ht="12.75" customHeight="1">
      <c r="A15" s="91"/>
      <c r="B15" s="73"/>
      <c r="C15" s="41"/>
      <c r="D15" s="73"/>
      <c r="E15" s="101"/>
      <c r="F15" s="92"/>
    </row>
    <row r="16" ht="12.75" customHeight="1">
      <c r="A16" s="91"/>
      <c r="B16" s="73"/>
      <c r="C16" s="41"/>
      <c r="D16" s="73"/>
      <c r="E16" s="101"/>
      <c r="F16" s="92"/>
    </row>
    <row r="17" ht="12.75" customHeight="1">
      <c r="A17" s="91"/>
      <c r="B17" s="73"/>
      <c r="C17" s="41"/>
      <c r="D17" s="73"/>
      <c r="E17" s="101"/>
      <c r="F17" s="92"/>
      <c r="H17" s="74" t="s">
        <v>86</v>
      </c>
    </row>
    <row r="18" ht="12.75" customHeight="1">
      <c r="A18" s="91"/>
      <c r="B18" s="73"/>
      <c r="C18" s="41"/>
      <c r="D18" s="73"/>
      <c r="E18" s="101"/>
      <c r="F18" s="92"/>
      <c r="H18" s="74" t="s">
        <v>86</v>
      </c>
    </row>
    <row r="19" ht="12.75" customHeight="1">
      <c r="A19" s="91"/>
      <c r="B19" s="73"/>
      <c r="C19" s="41"/>
      <c r="D19" s="73"/>
      <c r="E19" s="101"/>
      <c r="F19" s="92"/>
    </row>
    <row r="20" ht="12.75" customHeight="1">
      <c r="A20" s="91"/>
      <c r="B20" s="73"/>
      <c r="C20" s="41"/>
      <c r="D20" s="73"/>
      <c r="E20" s="101"/>
      <c r="F20" s="92"/>
    </row>
    <row r="21" ht="12.75" customHeight="1">
      <c r="A21" s="91"/>
      <c r="B21" s="73"/>
      <c r="C21" s="41"/>
      <c r="D21" s="73"/>
      <c r="E21" s="101"/>
      <c r="F21" s="92"/>
    </row>
    <row r="22" ht="12.75" customHeight="1">
      <c r="A22" s="91"/>
      <c r="B22" s="73"/>
      <c r="C22" s="41"/>
      <c r="D22" s="73"/>
      <c r="E22" s="101"/>
      <c r="F22" s="92"/>
    </row>
    <row r="23" ht="12.75" customHeight="1">
      <c r="A23" s="91"/>
      <c r="B23" s="93"/>
      <c r="C23" s="41"/>
      <c r="D23" s="73"/>
      <c r="E23" s="101"/>
      <c r="F23" s="92"/>
    </row>
    <row r="24" ht="12.75" customHeight="1">
      <c r="A24" s="91"/>
      <c r="B24" s="93"/>
      <c r="C24" s="41"/>
      <c r="D24" s="73"/>
      <c r="E24" s="101"/>
      <c r="F24" s="92"/>
    </row>
    <row r="25" ht="12.75" customHeight="1">
      <c r="A25" s="91"/>
      <c r="B25" s="73"/>
      <c r="C25" s="41"/>
      <c r="D25" s="73"/>
      <c r="E25" s="101"/>
      <c r="F25" s="92"/>
    </row>
    <row r="26" ht="12.75" customHeight="1">
      <c r="A26" s="91"/>
      <c r="B26" s="73"/>
      <c r="C26" s="41"/>
      <c r="D26" s="73"/>
      <c r="E26" s="101"/>
      <c r="F26" s="92"/>
    </row>
    <row r="27" ht="12.75" customHeight="1">
      <c r="A27" s="91"/>
      <c r="B27" s="73"/>
      <c r="C27" s="41"/>
      <c r="D27" s="73"/>
      <c r="E27" s="101"/>
      <c r="F27" s="92"/>
    </row>
    <row r="28" ht="12.75" customHeight="1">
      <c r="A28" s="91"/>
      <c r="B28" s="73"/>
      <c r="C28" s="41"/>
      <c r="D28" s="73"/>
      <c r="E28" s="101"/>
      <c r="F28" s="92"/>
    </row>
    <row r="29" ht="12.75" customHeight="1">
      <c r="A29" s="91"/>
      <c r="B29" s="93"/>
      <c r="C29" s="41"/>
      <c r="D29" s="73"/>
      <c r="E29" s="101"/>
      <c r="F29" s="92"/>
    </row>
    <row r="30" ht="12.75" customHeight="1">
      <c r="A30" s="95"/>
      <c r="B30" s="73"/>
      <c r="C30" s="41"/>
      <c r="D30" s="73"/>
      <c r="E30" s="101"/>
      <c r="F30" s="92"/>
    </row>
    <row r="31" ht="12.75" customHeight="1">
      <c r="A31" s="95"/>
      <c r="B31" s="73"/>
      <c r="C31" s="41"/>
      <c r="D31" s="73"/>
      <c r="E31" s="101"/>
      <c r="F31" s="92"/>
    </row>
    <row r="32" ht="12.75" customHeight="1">
      <c r="A32" s="95"/>
      <c r="B32" s="73"/>
      <c r="C32" s="41"/>
      <c r="D32" s="73"/>
      <c r="E32" s="101"/>
      <c r="F32" s="92"/>
    </row>
    <row r="33" ht="12.75" customHeight="1">
      <c r="A33" s="95"/>
      <c r="B33" s="73"/>
      <c r="C33" s="41"/>
      <c r="D33" s="73"/>
      <c r="E33" s="101"/>
      <c r="F33" s="92"/>
    </row>
    <row r="34" ht="12.75" customHeight="1">
      <c r="A34" s="95"/>
      <c r="B34" s="73"/>
      <c r="C34" s="41"/>
      <c r="D34" s="73"/>
      <c r="E34" s="101"/>
      <c r="F34" s="92"/>
    </row>
    <row r="35" ht="12.75" customHeight="1">
      <c r="A35" s="95"/>
      <c r="B35" s="73"/>
      <c r="C35" s="41"/>
      <c r="D35" s="73"/>
      <c r="E35" s="101"/>
      <c r="F35" s="92"/>
    </row>
    <row r="36" ht="12.75" customHeight="1">
      <c r="A36" s="95"/>
      <c r="B36" s="73"/>
      <c r="C36" s="41"/>
      <c r="D36" s="73"/>
      <c r="E36" s="101"/>
      <c r="F36" s="92"/>
    </row>
    <row r="37" ht="12.75" customHeight="1">
      <c r="A37" s="95"/>
      <c r="B37" s="96"/>
      <c r="C37" s="41"/>
      <c r="D37" s="73"/>
      <c r="E37" s="101"/>
      <c r="F37" s="92"/>
    </row>
    <row r="38" ht="12.75" customHeight="1">
      <c r="A38" s="95"/>
      <c r="B38" s="96"/>
      <c r="C38" s="41"/>
      <c r="D38" s="73"/>
      <c r="E38" s="101"/>
      <c r="F38" s="92"/>
    </row>
    <row r="39" ht="12.75" customHeight="1">
      <c r="A39" s="95"/>
      <c r="B39" s="73"/>
      <c r="C39" s="41"/>
      <c r="D39" s="73"/>
      <c r="E39" s="101"/>
      <c r="F39" s="92"/>
    </row>
    <row r="40" ht="12.75" customHeight="1">
      <c r="A40" s="95"/>
      <c r="B40" s="73"/>
      <c r="C40" s="41"/>
      <c r="D40" s="73"/>
      <c r="E40" s="101"/>
      <c r="F40" s="92"/>
    </row>
    <row r="41" ht="12.75" customHeight="1">
      <c r="A41" s="95"/>
      <c r="B41" s="73"/>
      <c r="C41" s="41"/>
      <c r="D41" s="73"/>
      <c r="E41" s="101"/>
      <c r="F41" s="92"/>
    </row>
    <row r="42" ht="12.75" customHeight="1">
      <c r="A42" s="95"/>
      <c r="B42" s="73"/>
      <c r="C42" s="41"/>
      <c r="D42" s="73"/>
      <c r="E42" s="101"/>
      <c r="F42" s="92"/>
    </row>
    <row r="43" ht="12.75" customHeight="1">
      <c r="A43" s="95"/>
      <c r="B43" s="73"/>
      <c r="C43" s="41"/>
      <c r="D43" s="73"/>
      <c r="E43" s="101"/>
      <c r="F43" s="92"/>
    </row>
    <row r="44" ht="12.75" customHeight="1">
      <c r="A44" s="97"/>
      <c r="B44" s="73"/>
      <c r="C44" s="41"/>
      <c r="D44" s="73"/>
      <c r="E44" s="101"/>
      <c r="F44" s="92"/>
    </row>
    <row r="45" ht="12.75" customHeight="1">
      <c r="A45" s="95"/>
      <c r="B45" s="73"/>
      <c r="C45" s="41"/>
      <c r="D45" s="73"/>
      <c r="E45" s="101"/>
      <c r="F45" s="92"/>
    </row>
    <row r="46" ht="12.75" customHeight="1">
      <c r="A46" s="95"/>
      <c r="B46" s="73"/>
      <c r="C46" s="41"/>
      <c r="D46" s="73"/>
      <c r="E46" s="101"/>
      <c r="F46" s="92"/>
    </row>
    <row r="47" ht="12.75" customHeight="1">
      <c r="A47" s="95"/>
      <c r="B47" s="73"/>
      <c r="C47" s="41"/>
      <c r="D47" s="73"/>
      <c r="E47" s="101"/>
      <c r="F47" s="92"/>
    </row>
    <row r="48" ht="12.75" customHeight="1">
      <c r="A48" s="95"/>
      <c r="B48" s="73"/>
      <c r="C48" s="41"/>
      <c r="D48" s="73"/>
      <c r="E48" s="101"/>
      <c r="F48" s="92"/>
    </row>
    <row r="49" ht="12.75" customHeight="1">
      <c r="A49" s="95"/>
      <c r="B49" s="73"/>
      <c r="C49" s="41"/>
      <c r="D49" s="73"/>
      <c r="E49" s="101"/>
      <c r="F49" s="92"/>
    </row>
    <row r="50" ht="12.75" customHeight="1">
      <c r="A50" s="97"/>
      <c r="B50" s="73"/>
      <c r="C50" s="41"/>
      <c r="D50" s="73"/>
      <c r="E50" s="101"/>
      <c r="F50" s="92"/>
    </row>
    <row r="51" ht="12.75" customHeight="1">
      <c r="A51" s="97"/>
      <c r="B51" s="73"/>
      <c r="C51" s="41"/>
      <c r="D51" s="73"/>
      <c r="E51" s="101"/>
      <c r="F51" s="92"/>
    </row>
    <row r="52" ht="12.75" customHeight="1">
      <c r="A52" s="95"/>
      <c r="B52" s="73"/>
      <c r="C52" s="41"/>
      <c r="D52" s="73"/>
      <c r="E52" s="101"/>
      <c r="F52" s="92"/>
    </row>
    <row r="53" ht="12.75" customHeight="1">
      <c r="A53" s="95"/>
      <c r="B53" s="73"/>
      <c r="C53" s="41"/>
      <c r="D53" s="73"/>
      <c r="E53" s="101"/>
      <c r="F53" s="92"/>
    </row>
    <row r="54" ht="12.75" customHeight="1">
      <c r="A54" s="95"/>
      <c r="B54" s="73"/>
      <c r="C54" s="41"/>
      <c r="D54" s="73"/>
      <c r="E54" s="101"/>
      <c r="F54" s="92"/>
    </row>
    <row r="55" ht="12.75" customHeight="1">
      <c r="A55" s="95"/>
      <c r="B55" s="73"/>
      <c r="C55" s="41"/>
      <c r="D55" s="73"/>
      <c r="E55" s="101"/>
      <c r="F55" s="92"/>
    </row>
    <row r="56" ht="12.75" customHeight="1">
      <c r="A56" s="95"/>
      <c r="B56" s="73"/>
      <c r="C56" s="41"/>
      <c r="D56" s="73"/>
      <c r="E56" s="101"/>
      <c r="F56" s="92"/>
    </row>
    <row r="57" ht="12.75" customHeight="1">
      <c r="A57" s="98"/>
      <c r="B57" s="73"/>
      <c r="C57" s="41"/>
      <c r="D57" s="73"/>
      <c r="E57" s="101"/>
      <c r="F57" s="92"/>
    </row>
    <row r="58" ht="12.75" customHeight="1">
      <c r="A58" s="95"/>
      <c r="B58" s="73"/>
      <c r="C58" s="41"/>
      <c r="D58" s="73"/>
      <c r="E58" s="101"/>
      <c r="F58" s="92"/>
    </row>
    <row r="59" ht="12.75" customHeight="1">
      <c r="A59" s="95"/>
      <c r="B59" s="73"/>
      <c r="C59" s="41"/>
      <c r="D59" s="73"/>
      <c r="E59" s="101"/>
      <c r="F59" s="92"/>
    </row>
    <row r="60" ht="12.75" customHeight="1">
      <c r="A60" s="95"/>
      <c r="B60" s="73"/>
      <c r="C60" s="41"/>
      <c r="D60" s="73"/>
      <c r="E60" s="101"/>
      <c r="F60" s="92"/>
    </row>
    <row r="61" ht="12.75" customHeight="1">
      <c r="A61" s="95"/>
      <c r="B61" s="73"/>
      <c r="C61" s="41"/>
      <c r="D61" s="73"/>
      <c r="E61" s="101"/>
      <c r="F61" s="92"/>
    </row>
    <row r="62" ht="12.75" customHeight="1">
      <c r="A62" s="95"/>
      <c r="B62" s="73"/>
      <c r="C62" s="41"/>
      <c r="D62" s="73"/>
      <c r="E62" s="101"/>
      <c r="F62" s="92"/>
    </row>
    <row r="63" ht="12.75" customHeight="1">
      <c r="A63" s="95"/>
      <c r="B63" s="73"/>
      <c r="C63" s="41"/>
      <c r="D63" s="73"/>
      <c r="E63" s="101"/>
      <c r="F63" s="92"/>
    </row>
    <row r="64" ht="12.75" customHeight="1">
      <c r="A64" s="95"/>
      <c r="B64" s="73"/>
      <c r="C64" s="41"/>
      <c r="D64" s="73"/>
      <c r="E64" s="101"/>
      <c r="F64" s="92"/>
    </row>
    <row r="65" ht="12.75" customHeight="1">
      <c r="A65" s="95"/>
      <c r="B65" s="73"/>
      <c r="C65" s="41"/>
      <c r="D65" s="73"/>
      <c r="E65" s="101"/>
      <c r="F65" s="92"/>
    </row>
    <row r="66" ht="12.75" customHeight="1">
      <c r="A66" s="99"/>
      <c r="B66" s="73"/>
      <c r="C66" s="41"/>
      <c r="D66" s="73"/>
      <c r="E66" s="101"/>
      <c r="F66" s="92"/>
    </row>
    <row r="67" ht="12.75" customHeight="1">
      <c r="A67" s="97"/>
      <c r="B67" s="73"/>
      <c r="C67" s="41"/>
      <c r="D67" s="73"/>
      <c r="E67" s="101"/>
      <c r="F67" s="92"/>
    </row>
    <row r="68" ht="12.75" customHeight="1">
      <c r="A68" s="95"/>
      <c r="B68" s="73"/>
      <c r="C68" s="41"/>
      <c r="D68" s="73"/>
      <c r="E68" s="101"/>
      <c r="F68" s="92"/>
    </row>
    <row r="69" ht="12.75" customHeight="1">
      <c r="A69" s="95"/>
      <c r="B69" s="73"/>
      <c r="C69" s="41"/>
      <c r="D69" s="73"/>
      <c r="E69" s="101"/>
      <c r="F69" s="92"/>
    </row>
    <row r="70" ht="12.75" customHeight="1">
      <c r="A70" s="95"/>
      <c r="B70" s="73"/>
      <c r="C70" s="41"/>
      <c r="D70" s="73"/>
      <c r="E70" s="101"/>
      <c r="F70" s="92"/>
    </row>
    <row r="71" ht="12.75" customHeight="1">
      <c r="A71" s="95"/>
      <c r="B71" s="73"/>
      <c r="C71" s="41"/>
      <c r="D71" s="73"/>
      <c r="E71" s="101"/>
      <c r="F71" s="92"/>
    </row>
    <row r="72" ht="12.75" customHeight="1">
      <c r="A72" s="95"/>
      <c r="B72" s="73"/>
      <c r="C72" s="41"/>
      <c r="D72" s="73"/>
      <c r="E72" s="101"/>
      <c r="F72" s="92"/>
    </row>
    <row r="73" ht="12.75" customHeight="1">
      <c r="A73" s="95"/>
      <c r="B73" s="73"/>
      <c r="C73" s="41"/>
      <c r="D73" s="73"/>
      <c r="E73" s="101"/>
      <c r="F73" s="92"/>
    </row>
    <row r="74" ht="12.75" customHeight="1">
      <c r="A74" s="95"/>
      <c r="B74" s="73"/>
      <c r="C74" s="41"/>
      <c r="D74" s="73"/>
      <c r="E74" s="101"/>
      <c r="F74" s="92"/>
    </row>
    <row r="75" ht="12.75" customHeight="1">
      <c r="A75" s="95"/>
      <c r="B75" s="73"/>
      <c r="C75" s="41"/>
      <c r="D75" s="73"/>
      <c r="E75" s="101"/>
      <c r="F75" s="92"/>
    </row>
    <row r="76" ht="12.75" customHeight="1">
      <c r="A76" s="95"/>
      <c r="B76" s="73"/>
      <c r="C76" s="41"/>
      <c r="D76" s="73"/>
      <c r="E76" s="101"/>
      <c r="F76" s="92"/>
    </row>
    <row r="77" ht="12.75" customHeight="1">
      <c r="A77" s="95"/>
      <c r="B77" s="73"/>
      <c r="C77" s="41"/>
      <c r="D77" s="73"/>
      <c r="E77" s="101"/>
      <c r="F77" s="92"/>
    </row>
    <row r="78" ht="12.75" customHeight="1">
      <c r="A78" s="95"/>
      <c r="B78" s="73"/>
      <c r="C78" s="41"/>
      <c r="D78" s="73"/>
      <c r="E78" s="101"/>
      <c r="F78" s="92"/>
    </row>
    <row r="79" ht="12.75" customHeight="1">
      <c r="A79" s="95"/>
      <c r="B79" s="73"/>
      <c r="C79" s="41"/>
      <c r="D79" s="73"/>
      <c r="E79" s="101"/>
      <c r="F79" s="92"/>
    </row>
    <row r="80" ht="12.75" customHeight="1">
      <c r="A80" s="95"/>
      <c r="B80" s="73"/>
      <c r="C80" s="41"/>
      <c r="D80" s="73"/>
      <c r="E80" s="101"/>
      <c r="F80" s="92"/>
    </row>
    <row r="81" ht="12.75" customHeight="1">
      <c r="A81" s="95"/>
      <c r="B81" s="73"/>
      <c r="C81" s="41"/>
      <c r="D81" s="73"/>
      <c r="E81" s="101"/>
      <c r="F81" s="92"/>
    </row>
    <row r="82" ht="12.75" customHeight="1">
      <c r="A82" s="95"/>
      <c r="B82" s="73"/>
      <c r="C82" s="41"/>
      <c r="D82" s="73"/>
      <c r="E82" s="101"/>
      <c r="F82" s="92"/>
    </row>
    <row r="83" ht="12.75" customHeight="1">
      <c r="A83" s="95"/>
      <c r="B83" s="73"/>
      <c r="C83" s="41"/>
      <c r="D83" s="73"/>
      <c r="E83" s="101"/>
      <c r="F83" s="92"/>
    </row>
    <row r="84" ht="12.75" customHeight="1">
      <c r="A84" s="95"/>
      <c r="B84" s="73"/>
      <c r="C84" s="41"/>
      <c r="D84" s="73"/>
      <c r="E84" s="101"/>
      <c r="F84" s="92"/>
    </row>
    <row r="85" ht="12.75" customHeight="1">
      <c r="A85" s="95"/>
      <c r="B85" s="73"/>
      <c r="C85" s="41"/>
      <c r="D85" s="73"/>
      <c r="E85" s="101"/>
      <c r="F85" s="92"/>
    </row>
    <row r="86" ht="12.75" customHeight="1">
      <c r="A86" s="95"/>
      <c r="B86" s="73"/>
      <c r="C86" s="41"/>
      <c r="D86" s="73"/>
      <c r="E86" s="101"/>
      <c r="F86" s="92"/>
    </row>
    <row r="87" ht="12.75" customHeight="1">
      <c r="A87" s="95"/>
      <c r="B87" s="73"/>
      <c r="C87" s="41"/>
      <c r="D87" s="73"/>
      <c r="E87" s="101"/>
      <c r="F87" s="92"/>
    </row>
    <row r="88" ht="12.75" customHeight="1">
      <c r="A88" s="95"/>
      <c r="B88" s="73"/>
      <c r="C88" s="41"/>
      <c r="D88" s="73"/>
      <c r="E88" s="101"/>
      <c r="F88" s="92"/>
    </row>
    <row r="89" ht="12.75" customHeight="1">
      <c r="A89" s="95"/>
      <c r="B89" s="73"/>
      <c r="C89" s="41"/>
      <c r="D89" s="73"/>
      <c r="E89" s="101"/>
      <c r="F89" s="92"/>
    </row>
    <row r="90" ht="12.75" customHeight="1">
      <c r="A90" s="95"/>
      <c r="B90" s="73"/>
      <c r="C90" s="41"/>
      <c r="D90" s="73"/>
      <c r="E90" s="101"/>
      <c r="F90" s="92"/>
    </row>
    <row r="91" ht="12.75" customHeight="1">
      <c r="A91" s="95"/>
      <c r="B91" s="73"/>
      <c r="C91" s="41"/>
      <c r="D91" s="73"/>
      <c r="E91" s="101"/>
      <c r="F91" s="92"/>
    </row>
    <row r="92" ht="12.75" customHeight="1">
      <c r="A92" s="95"/>
      <c r="B92" s="73"/>
      <c r="C92" s="41"/>
      <c r="D92" s="73"/>
      <c r="E92" s="101"/>
      <c r="F92" s="92"/>
    </row>
    <row r="93" ht="12.75" customHeight="1">
      <c r="A93" s="95"/>
      <c r="B93" s="73"/>
      <c r="C93" s="41"/>
      <c r="D93" s="73"/>
      <c r="E93" s="101"/>
      <c r="F93" s="92"/>
    </row>
    <row r="94" ht="12.75" customHeight="1">
      <c r="A94" s="95"/>
      <c r="B94" s="73"/>
      <c r="C94" s="41"/>
      <c r="D94" s="73"/>
      <c r="E94" s="101"/>
      <c r="F94" s="92"/>
    </row>
    <row r="95" ht="12.75" customHeight="1">
      <c r="A95" s="95"/>
      <c r="B95" s="73"/>
      <c r="C95" s="41"/>
      <c r="D95" s="73"/>
      <c r="E95" s="101"/>
      <c r="F95" s="92"/>
    </row>
    <row r="96" ht="12.75" customHeight="1">
      <c r="A96" s="95"/>
      <c r="B96" s="73"/>
      <c r="C96" s="41"/>
      <c r="D96" s="73"/>
      <c r="E96" s="101"/>
      <c r="F96" s="92"/>
    </row>
    <row r="97" ht="12.75" customHeight="1">
      <c r="A97" s="95"/>
      <c r="B97" s="73"/>
      <c r="C97" s="41"/>
      <c r="D97" s="73"/>
      <c r="E97" s="101"/>
      <c r="F97" s="92"/>
    </row>
    <row r="98" ht="12.75" customHeight="1">
      <c r="A98" s="95"/>
      <c r="B98" s="73"/>
      <c r="C98" s="41"/>
      <c r="D98" s="73"/>
      <c r="E98" s="101"/>
      <c r="F98" s="92"/>
    </row>
    <row r="99" ht="12.75" customHeight="1">
      <c r="A99" s="95"/>
      <c r="B99" s="73"/>
      <c r="C99" s="41"/>
      <c r="D99" s="73"/>
      <c r="E99" s="101"/>
      <c r="F99" s="92"/>
    </row>
    <row r="100" ht="12.75" customHeight="1">
      <c r="A100" s="95"/>
      <c r="B100" s="73"/>
      <c r="C100" s="41"/>
      <c r="D100" s="73"/>
      <c r="E100" s="101"/>
      <c r="F100" s="92"/>
    </row>
    <row r="101" ht="12.75" customHeight="1">
      <c r="A101" s="95"/>
      <c r="B101" s="73"/>
      <c r="C101" s="41"/>
      <c r="D101" s="73"/>
      <c r="E101" s="101"/>
      <c r="F101" s="92"/>
    </row>
    <row r="102" ht="12.75" customHeight="1">
      <c r="A102" s="95"/>
      <c r="B102" s="73"/>
      <c r="C102" s="41"/>
      <c r="D102" s="73"/>
      <c r="E102" s="101"/>
      <c r="F102" s="92"/>
    </row>
    <row r="103" ht="12.75" customHeight="1">
      <c r="A103" s="95"/>
      <c r="B103" s="73"/>
      <c r="C103" s="41"/>
      <c r="D103" s="73"/>
      <c r="E103" s="101"/>
      <c r="F103" s="92"/>
    </row>
    <row r="104" ht="12.75" customHeight="1">
      <c r="A104" s="95"/>
      <c r="B104" s="73"/>
      <c r="C104" s="41"/>
      <c r="D104" s="73"/>
      <c r="E104" s="101"/>
      <c r="F104" s="92"/>
    </row>
    <row r="105" ht="12.75" customHeight="1">
      <c r="A105" s="95"/>
      <c r="B105" s="73"/>
      <c r="C105" s="41"/>
      <c r="D105" s="73"/>
      <c r="E105" s="101"/>
      <c r="F105" s="92"/>
    </row>
    <row r="106" ht="12.75" customHeight="1">
      <c r="A106" s="95"/>
      <c r="B106" s="73"/>
      <c r="C106" s="41"/>
      <c r="D106" s="73"/>
      <c r="E106" s="101"/>
      <c r="F106" s="92"/>
    </row>
    <row r="107" ht="12.75" customHeight="1">
      <c r="A107" s="95"/>
      <c r="B107" s="73"/>
      <c r="C107" s="41"/>
      <c r="D107" s="73"/>
      <c r="E107" s="101"/>
      <c r="F107" s="92"/>
    </row>
    <row r="108" ht="12.75" customHeight="1">
      <c r="A108" s="95"/>
      <c r="B108" s="73"/>
      <c r="C108" s="41"/>
      <c r="D108" s="73"/>
      <c r="E108" s="101"/>
      <c r="F108" s="92"/>
    </row>
    <row r="109" ht="12.75" customHeight="1">
      <c r="A109" s="95"/>
      <c r="B109" s="73"/>
      <c r="C109" s="41"/>
      <c r="D109" s="73"/>
      <c r="E109" s="101"/>
      <c r="F109" s="92"/>
    </row>
    <row r="110" ht="12.75" customHeight="1">
      <c r="A110" s="95"/>
      <c r="B110" s="73"/>
      <c r="C110" s="41"/>
      <c r="D110" s="73"/>
      <c r="E110" s="101"/>
      <c r="F110" s="92"/>
    </row>
    <row r="111" ht="12.75" customHeight="1">
      <c r="A111" s="95"/>
      <c r="B111" s="73"/>
      <c r="C111" s="41"/>
      <c r="D111" s="73"/>
      <c r="E111" s="101"/>
      <c r="F111" s="92"/>
    </row>
    <row r="112" ht="12.75" customHeight="1">
      <c r="A112" s="95"/>
      <c r="B112" s="73"/>
      <c r="C112" s="41"/>
      <c r="D112" s="73"/>
      <c r="E112" s="101"/>
      <c r="F112" s="92"/>
    </row>
    <row r="113" ht="12.75" customHeight="1">
      <c r="A113" s="95"/>
      <c r="B113" s="73"/>
      <c r="C113" s="41"/>
      <c r="D113" s="73"/>
      <c r="E113" s="101"/>
      <c r="F113" s="92"/>
    </row>
    <row r="114" ht="12.75" customHeight="1">
      <c r="A114" s="95"/>
      <c r="B114" s="73"/>
      <c r="C114" s="41"/>
      <c r="D114" s="73"/>
      <c r="E114" s="101"/>
      <c r="F114" s="92"/>
    </row>
    <row r="115" ht="12.75" customHeight="1">
      <c r="A115" s="95"/>
      <c r="B115" s="73"/>
      <c r="C115" s="41"/>
      <c r="D115" s="73"/>
      <c r="E115" s="101"/>
      <c r="F115" s="92"/>
    </row>
    <row r="116" ht="12.75" customHeight="1">
      <c r="A116" s="95"/>
      <c r="B116" s="73"/>
      <c r="C116" s="41"/>
      <c r="D116" s="73"/>
      <c r="E116" s="101"/>
      <c r="F116" s="92"/>
    </row>
    <row r="117" ht="12.75" customHeight="1">
      <c r="A117" s="95"/>
      <c r="B117" s="73"/>
      <c r="C117" s="41"/>
      <c r="D117" s="73"/>
      <c r="E117" s="101"/>
      <c r="F117" s="92"/>
    </row>
    <row r="118" ht="12.75" customHeight="1">
      <c r="A118" s="95"/>
      <c r="B118" s="73"/>
      <c r="C118" s="41"/>
      <c r="D118" s="73"/>
      <c r="E118" s="101"/>
      <c r="F118" s="92"/>
    </row>
    <row r="119" ht="12.75" customHeight="1">
      <c r="A119" s="95"/>
      <c r="B119" s="73"/>
      <c r="C119" s="41"/>
      <c r="D119" s="73"/>
      <c r="E119" s="101"/>
      <c r="F119" s="92"/>
    </row>
    <row r="120" ht="12.75" customHeight="1">
      <c r="A120" s="95"/>
      <c r="B120" s="73"/>
      <c r="C120" s="41"/>
      <c r="D120" s="73"/>
      <c r="E120" s="101"/>
      <c r="F120" s="92"/>
    </row>
    <row r="121" ht="12.75" customHeight="1">
      <c r="A121" s="95"/>
      <c r="B121" s="73"/>
      <c r="C121" s="41"/>
      <c r="D121" s="73"/>
      <c r="E121" s="101"/>
      <c r="F121" s="92"/>
    </row>
    <row r="122" ht="12.75" customHeight="1">
      <c r="A122" s="95"/>
      <c r="B122" s="73"/>
      <c r="C122" s="41"/>
      <c r="D122" s="73"/>
      <c r="E122" s="101"/>
      <c r="F122" s="92"/>
    </row>
    <row r="123" ht="12.75" customHeight="1">
      <c r="A123" s="95"/>
      <c r="B123" s="73"/>
      <c r="C123" s="41"/>
      <c r="D123" s="73"/>
      <c r="E123" s="101"/>
      <c r="F123" s="92"/>
    </row>
    <row r="124" ht="12.75" customHeight="1">
      <c r="A124" s="95"/>
      <c r="B124" s="73"/>
      <c r="C124" s="41"/>
      <c r="D124" s="73"/>
      <c r="E124" s="101"/>
      <c r="F124" s="92"/>
    </row>
    <row r="125" ht="12.75" customHeight="1">
      <c r="A125" s="95"/>
      <c r="B125" s="73"/>
      <c r="C125" s="41"/>
      <c r="D125" s="73"/>
      <c r="E125" s="101"/>
      <c r="F125" s="92"/>
    </row>
    <row r="126" ht="12.75" customHeight="1">
      <c r="A126" s="95"/>
      <c r="B126" s="73"/>
      <c r="C126" s="41"/>
      <c r="D126" s="73"/>
      <c r="E126" s="101"/>
      <c r="F126" s="92"/>
    </row>
    <row r="127" ht="12.75" customHeight="1">
      <c r="A127" s="95"/>
      <c r="B127" s="73"/>
      <c r="C127" s="41"/>
      <c r="D127" s="73"/>
      <c r="E127" s="101"/>
      <c r="F127" s="92"/>
    </row>
    <row r="128" ht="12.75" customHeight="1">
      <c r="A128" s="95"/>
      <c r="B128" s="73"/>
      <c r="C128" s="41"/>
      <c r="D128" s="73"/>
      <c r="E128" s="101"/>
      <c r="F128" s="92"/>
    </row>
    <row r="129" ht="12.75" customHeight="1">
      <c r="A129" s="95"/>
      <c r="B129" s="73"/>
      <c r="C129" s="41"/>
      <c r="D129" s="73"/>
      <c r="E129" s="101"/>
      <c r="F129" s="92"/>
    </row>
    <row r="130" ht="12.75" customHeight="1">
      <c r="A130" s="95"/>
      <c r="B130" s="73"/>
      <c r="C130" s="41"/>
      <c r="D130" s="73"/>
      <c r="E130" s="101"/>
      <c r="F130" s="92"/>
    </row>
    <row r="131" ht="12.75" customHeight="1">
      <c r="A131" s="95"/>
      <c r="B131" s="73"/>
      <c r="C131" s="41"/>
      <c r="D131" s="73"/>
      <c r="E131" s="101"/>
      <c r="F131" s="92"/>
    </row>
    <row r="132" ht="12.75" customHeight="1">
      <c r="A132" s="95"/>
      <c r="B132" s="73"/>
      <c r="C132" s="41"/>
      <c r="D132" s="73"/>
      <c r="E132" s="101"/>
      <c r="F132" s="92"/>
    </row>
    <row r="133" ht="12.75" customHeight="1">
      <c r="A133" s="95"/>
      <c r="B133" s="73"/>
      <c r="C133" s="41"/>
      <c r="D133" s="73"/>
      <c r="E133" s="101"/>
      <c r="F133" s="92"/>
    </row>
    <row r="134" ht="12.75" customHeight="1">
      <c r="A134" s="95"/>
      <c r="B134" s="73"/>
      <c r="C134" s="41"/>
      <c r="D134" s="73"/>
      <c r="E134" s="101"/>
      <c r="F134" s="92"/>
    </row>
    <row r="135" ht="12.75" customHeight="1">
      <c r="A135" s="95"/>
      <c r="B135" s="73"/>
      <c r="C135" s="41"/>
      <c r="D135" s="73"/>
      <c r="E135" s="101"/>
      <c r="F135" s="92"/>
    </row>
    <row r="136" ht="12.75" customHeight="1">
      <c r="A136" s="95"/>
      <c r="B136" s="73"/>
      <c r="C136" s="41"/>
      <c r="D136" s="73"/>
      <c r="E136" s="101"/>
      <c r="F136" s="92"/>
    </row>
    <row r="137" ht="12.75" customHeight="1">
      <c r="A137" s="95"/>
      <c r="B137" s="73"/>
      <c r="C137" s="41"/>
      <c r="D137" s="73"/>
      <c r="E137" s="101"/>
      <c r="F137" s="92"/>
    </row>
    <row r="138" ht="12.75" customHeight="1">
      <c r="A138" s="95"/>
      <c r="B138" s="73"/>
      <c r="C138" s="41"/>
      <c r="D138" s="73"/>
      <c r="E138" s="101"/>
      <c r="F138" s="92"/>
    </row>
    <row r="139" ht="12.75" customHeight="1">
      <c r="A139" s="95"/>
      <c r="B139" s="73"/>
      <c r="C139" s="41"/>
      <c r="D139" s="73"/>
      <c r="E139" s="101"/>
      <c r="F139" s="92"/>
    </row>
    <row r="140" ht="12.75" customHeight="1">
      <c r="A140" s="95"/>
      <c r="B140" s="73"/>
      <c r="C140" s="41"/>
      <c r="D140" s="73"/>
      <c r="E140" s="101"/>
      <c r="F140" s="92"/>
    </row>
    <row r="141" ht="12.75" customHeight="1">
      <c r="A141" s="95"/>
      <c r="B141" s="73"/>
      <c r="C141" s="41"/>
      <c r="D141" s="73"/>
      <c r="E141" s="101"/>
      <c r="F141" s="92"/>
    </row>
    <row r="142" ht="12.75" customHeight="1">
      <c r="A142" s="95"/>
      <c r="B142" s="73"/>
      <c r="C142" s="41"/>
      <c r="D142" s="73"/>
      <c r="E142" s="101"/>
      <c r="F142" s="92"/>
    </row>
    <row r="143" ht="12.75" customHeight="1">
      <c r="A143" s="95"/>
      <c r="B143" s="73"/>
      <c r="C143" s="41"/>
      <c r="D143" s="73"/>
      <c r="E143" s="101"/>
      <c r="F143" s="92"/>
    </row>
    <row r="144" ht="12.75" customHeight="1">
      <c r="A144" s="95"/>
      <c r="B144" s="73"/>
      <c r="C144" s="41"/>
      <c r="D144" s="73"/>
      <c r="E144" s="101"/>
      <c r="F144" s="92"/>
    </row>
    <row r="145" ht="12.75" customHeight="1">
      <c r="A145" s="95"/>
      <c r="B145" s="73"/>
      <c r="C145" s="41"/>
      <c r="D145" s="73"/>
      <c r="E145" s="101"/>
      <c r="F145" s="92"/>
    </row>
    <row r="146" ht="12.75" customHeight="1">
      <c r="A146" s="95"/>
      <c r="B146" s="73"/>
      <c r="C146" s="41"/>
      <c r="D146" s="73"/>
      <c r="E146" s="101"/>
      <c r="F146" s="92"/>
    </row>
    <row r="147" ht="12.75" customHeight="1">
      <c r="A147" s="95"/>
      <c r="B147" s="73"/>
      <c r="C147" s="41"/>
      <c r="D147" s="73"/>
      <c r="E147" s="101"/>
      <c r="F147" s="92"/>
    </row>
    <row r="148" ht="12.75" customHeight="1">
      <c r="A148" s="95"/>
      <c r="B148" s="73"/>
      <c r="C148" s="41"/>
      <c r="D148" s="73"/>
      <c r="E148" s="101"/>
      <c r="F148" s="92"/>
    </row>
    <row r="149" ht="12.75" customHeight="1">
      <c r="A149" s="95"/>
      <c r="B149" s="73"/>
      <c r="C149" s="41"/>
      <c r="D149" s="73"/>
      <c r="E149" s="101"/>
      <c r="F149" s="92"/>
    </row>
    <row r="150" ht="12.75" customHeight="1">
      <c r="A150" s="95"/>
      <c r="B150" s="73"/>
      <c r="C150" s="41"/>
      <c r="D150" s="73"/>
      <c r="E150" s="101"/>
      <c r="F150" s="92"/>
    </row>
    <row r="151" ht="12.75" customHeight="1">
      <c r="A151" s="95"/>
      <c r="B151" s="73"/>
      <c r="C151" s="41"/>
      <c r="D151" s="73"/>
      <c r="E151" s="101"/>
      <c r="F151" s="92"/>
    </row>
    <row r="152" ht="12.75" customHeight="1">
      <c r="A152" s="95"/>
      <c r="B152" s="73"/>
      <c r="C152" s="41"/>
      <c r="D152" s="73"/>
      <c r="E152" s="101"/>
      <c r="F152" s="92"/>
    </row>
    <row r="153" ht="12.75" customHeight="1">
      <c r="A153" s="95"/>
      <c r="B153" s="73"/>
      <c r="C153" s="41"/>
      <c r="D153" s="73"/>
      <c r="E153" s="101"/>
      <c r="F153" s="92"/>
    </row>
    <row r="154" ht="12.75" customHeight="1">
      <c r="A154" s="95"/>
      <c r="B154" s="73"/>
      <c r="C154" s="41"/>
      <c r="D154" s="73"/>
      <c r="E154" s="101"/>
      <c r="F154" s="92"/>
    </row>
    <row r="155" ht="12.75" customHeight="1">
      <c r="A155" s="95"/>
      <c r="B155" s="73"/>
      <c r="C155" s="41"/>
      <c r="D155" s="73"/>
      <c r="E155" s="101"/>
      <c r="F155" s="92"/>
    </row>
    <row r="156" ht="12.75" customHeight="1">
      <c r="A156" s="95"/>
      <c r="B156" s="73"/>
      <c r="C156" s="41"/>
      <c r="D156" s="73"/>
      <c r="E156" s="101"/>
      <c r="F156" s="92"/>
    </row>
    <row r="157" ht="12.75" customHeight="1">
      <c r="A157" s="95"/>
      <c r="B157" s="73"/>
      <c r="C157" s="41"/>
      <c r="D157" s="73"/>
      <c r="E157" s="101"/>
      <c r="F157" s="92"/>
    </row>
    <row r="158" ht="12.75" customHeight="1">
      <c r="A158" s="95"/>
      <c r="B158" s="73"/>
      <c r="C158" s="41"/>
      <c r="D158" s="73"/>
      <c r="E158" s="101"/>
      <c r="F158" s="92"/>
    </row>
    <row r="159" ht="12.75" customHeight="1">
      <c r="A159" s="95"/>
      <c r="B159" s="73"/>
      <c r="C159" s="41"/>
      <c r="D159" s="73"/>
      <c r="E159" s="101"/>
      <c r="F159" s="92"/>
    </row>
    <row r="160" ht="12.75" customHeight="1">
      <c r="A160" s="95"/>
      <c r="B160" s="73"/>
      <c r="C160" s="41"/>
      <c r="D160" s="73"/>
      <c r="E160" s="101"/>
      <c r="F160" s="92"/>
    </row>
    <row r="161" ht="12.75" customHeight="1">
      <c r="A161" s="95"/>
      <c r="B161" s="73"/>
      <c r="C161" s="41"/>
      <c r="D161" s="73"/>
      <c r="E161" s="101"/>
      <c r="F161" s="92"/>
    </row>
    <row r="162" ht="12.75" customHeight="1">
      <c r="A162" s="95"/>
      <c r="B162" s="73"/>
      <c r="C162" s="41"/>
      <c r="D162" s="73"/>
      <c r="E162" s="101"/>
      <c r="F162" s="92"/>
    </row>
    <row r="163" ht="12.75" customHeight="1">
      <c r="A163" s="95"/>
      <c r="B163" s="73"/>
      <c r="C163" s="41"/>
      <c r="D163" s="73"/>
      <c r="E163" s="101"/>
      <c r="F163" s="92"/>
    </row>
    <row r="164" ht="12.75" customHeight="1">
      <c r="A164" s="95"/>
      <c r="B164" s="73"/>
      <c r="C164" s="41"/>
      <c r="D164" s="73"/>
      <c r="E164" s="101"/>
      <c r="F164" s="92"/>
    </row>
    <row r="165" ht="12.75" customHeight="1">
      <c r="A165" s="95"/>
      <c r="B165" s="73"/>
      <c r="C165" s="41"/>
      <c r="D165" s="73"/>
      <c r="E165" s="101"/>
      <c r="F165" s="92"/>
    </row>
    <row r="166" ht="12.75" customHeight="1">
      <c r="A166" s="95"/>
      <c r="B166" s="73"/>
      <c r="C166" s="41"/>
      <c r="D166" s="73"/>
      <c r="E166" s="101"/>
      <c r="F166" s="92"/>
    </row>
    <row r="167" ht="12.75" customHeight="1">
      <c r="A167" s="95"/>
      <c r="B167" s="73"/>
      <c r="C167" s="41"/>
      <c r="D167" s="73"/>
      <c r="E167" s="101"/>
      <c r="F167" s="92"/>
    </row>
    <row r="168" ht="12.75" customHeight="1">
      <c r="A168" s="95"/>
      <c r="B168" s="73"/>
      <c r="C168" s="41"/>
      <c r="D168" s="73"/>
      <c r="E168" s="101"/>
      <c r="F168" s="92"/>
    </row>
    <row r="169" ht="12.75" customHeight="1">
      <c r="A169" s="95"/>
      <c r="B169" s="73"/>
      <c r="C169" s="41"/>
      <c r="D169" s="73"/>
      <c r="E169" s="101"/>
      <c r="F169" s="92"/>
    </row>
    <row r="170" ht="12.75" customHeight="1">
      <c r="A170" s="95"/>
      <c r="B170" s="73"/>
      <c r="C170" s="41"/>
      <c r="D170" s="73"/>
      <c r="E170" s="101"/>
      <c r="F170" s="92"/>
    </row>
    <row r="171" ht="12.75" customHeight="1">
      <c r="A171" s="95"/>
      <c r="B171" s="73"/>
      <c r="C171" s="41"/>
      <c r="D171" s="73"/>
      <c r="E171" s="101"/>
      <c r="F171" s="92"/>
    </row>
    <row r="172" ht="12.75" customHeight="1">
      <c r="A172" s="95"/>
      <c r="B172" s="73"/>
      <c r="C172" s="41"/>
      <c r="D172" s="73"/>
      <c r="E172" s="101"/>
      <c r="F172" s="92"/>
    </row>
    <row r="173" ht="12.75" customHeight="1">
      <c r="A173" s="95"/>
      <c r="B173" s="73"/>
      <c r="C173" s="41"/>
      <c r="D173" s="73"/>
      <c r="E173" s="101"/>
      <c r="F173" s="92"/>
    </row>
    <row r="174" ht="12.75" customHeight="1">
      <c r="A174" s="95"/>
      <c r="B174" s="73"/>
      <c r="C174" s="41"/>
      <c r="D174" s="73"/>
      <c r="E174" s="101"/>
      <c r="F174" s="92"/>
    </row>
    <row r="175" ht="12.75" customHeight="1">
      <c r="A175" s="95"/>
      <c r="B175" s="73"/>
      <c r="C175" s="41"/>
      <c r="D175" s="73"/>
      <c r="E175" s="101"/>
      <c r="F175" s="92"/>
    </row>
    <row r="176" ht="12.75" customHeight="1">
      <c r="A176" s="95"/>
      <c r="B176" s="73"/>
      <c r="C176" s="41"/>
      <c r="D176" s="73"/>
      <c r="E176" s="101"/>
      <c r="F176" s="92"/>
    </row>
    <row r="177" ht="12.75" customHeight="1">
      <c r="A177" s="95"/>
      <c r="B177" s="73"/>
      <c r="C177" s="41"/>
      <c r="D177" s="73"/>
      <c r="E177" s="101"/>
      <c r="F177" s="92"/>
    </row>
    <row r="178" ht="12.75" customHeight="1">
      <c r="A178" s="95"/>
      <c r="B178" s="73"/>
      <c r="C178" s="41"/>
      <c r="D178" s="73"/>
      <c r="E178" s="101"/>
      <c r="F178" s="92"/>
    </row>
    <row r="179" ht="12.75" customHeight="1">
      <c r="A179" s="95"/>
      <c r="B179" s="73"/>
      <c r="C179" s="41"/>
      <c r="D179" s="73"/>
      <c r="E179" s="101"/>
      <c r="F179" s="92"/>
    </row>
    <row r="180" ht="12.75" customHeight="1">
      <c r="A180" s="95"/>
      <c r="B180" s="73"/>
      <c r="C180" s="41"/>
      <c r="D180" s="73"/>
      <c r="E180" s="101"/>
      <c r="F180" s="92"/>
    </row>
    <row r="181" ht="12.75" customHeight="1">
      <c r="A181" s="95"/>
      <c r="B181" s="73"/>
      <c r="C181" s="41"/>
      <c r="D181" s="73"/>
      <c r="E181" s="101"/>
      <c r="F181" s="92"/>
    </row>
    <row r="182" ht="12.75" customHeight="1">
      <c r="A182" s="95"/>
      <c r="B182" s="73"/>
      <c r="C182" s="41"/>
      <c r="D182" s="73"/>
      <c r="E182" s="101"/>
      <c r="F182" s="92"/>
    </row>
    <row r="183" ht="12.75" customHeight="1">
      <c r="A183" s="95"/>
      <c r="B183" s="73"/>
      <c r="C183" s="41"/>
      <c r="D183" s="73"/>
      <c r="E183" s="101"/>
      <c r="F183" s="92"/>
    </row>
    <row r="184" ht="12.75" customHeight="1">
      <c r="A184" s="95"/>
      <c r="B184" s="73"/>
      <c r="C184" s="41"/>
      <c r="D184" s="73"/>
      <c r="E184" s="101"/>
      <c r="F184" s="92"/>
    </row>
    <row r="185" ht="12.75" customHeight="1">
      <c r="A185" s="95"/>
      <c r="B185" s="73"/>
      <c r="C185" s="41"/>
      <c r="D185" s="73"/>
      <c r="E185" s="101"/>
      <c r="F185" s="92"/>
    </row>
    <row r="186" ht="12.75" customHeight="1">
      <c r="A186" s="95"/>
      <c r="B186" s="73"/>
      <c r="C186" s="41"/>
      <c r="D186" s="73"/>
      <c r="E186" s="101"/>
      <c r="F186" s="92"/>
    </row>
    <row r="187" ht="12.75" customHeight="1">
      <c r="A187" s="95"/>
      <c r="B187" s="73"/>
      <c r="C187" s="41"/>
      <c r="D187" s="73"/>
      <c r="E187" s="101"/>
      <c r="F187" s="92"/>
    </row>
    <row r="188" ht="12.75" customHeight="1">
      <c r="A188" s="95"/>
      <c r="B188" s="73"/>
      <c r="C188" s="41"/>
      <c r="D188" s="73"/>
      <c r="E188" s="101"/>
      <c r="F188" s="92"/>
    </row>
    <row r="189" ht="12.75" customHeight="1">
      <c r="A189" s="95"/>
      <c r="B189" s="73"/>
      <c r="C189" s="41"/>
      <c r="D189" s="73"/>
      <c r="E189" s="101"/>
      <c r="F189" s="92"/>
    </row>
    <row r="190" ht="12.75" customHeight="1">
      <c r="A190" s="95"/>
      <c r="B190" s="73"/>
      <c r="C190" s="41"/>
      <c r="D190" s="73"/>
      <c r="E190" s="101"/>
      <c r="F190" s="92"/>
    </row>
    <row r="191" ht="12.75" customHeight="1">
      <c r="A191" s="95"/>
      <c r="B191" s="73"/>
      <c r="C191" s="41"/>
      <c r="D191" s="73"/>
      <c r="E191" s="101"/>
      <c r="F191" s="92"/>
    </row>
    <row r="192" ht="12.75" customHeight="1">
      <c r="A192" s="95"/>
      <c r="B192" s="73"/>
      <c r="C192" s="41"/>
      <c r="D192" s="73"/>
      <c r="E192" s="101"/>
      <c r="F192" s="92"/>
    </row>
    <row r="193" ht="12.75" customHeight="1">
      <c r="A193" s="95"/>
      <c r="B193" s="73"/>
      <c r="C193" s="41"/>
      <c r="D193" s="73"/>
      <c r="E193" s="101"/>
      <c r="F193" s="92"/>
    </row>
    <row r="194" ht="12.75" customHeight="1">
      <c r="A194" s="95"/>
      <c r="B194" s="73"/>
      <c r="C194" s="41"/>
      <c r="D194" s="73"/>
      <c r="E194" s="101"/>
      <c r="F194" s="92"/>
    </row>
    <row r="195" ht="12.75" customHeight="1">
      <c r="A195" s="95"/>
      <c r="B195" s="73"/>
      <c r="C195" s="41"/>
      <c r="D195" s="73"/>
      <c r="E195" s="101"/>
      <c r="F195" s="92"/>
    </row>
    <row r="196" ht="12.75" customHeight="1">
      <c r="A196" s="95"/>
      <c r="B196" s="73"/>
      <c r="C196" s="41"/>
      <c r="D196" s="73"/>
      <c r="E196" s="101"/>
      <c r="F196" s="92"/>
    </row>
    <row r="197" ht="12.75" customHeight="1">
      <c r="A197" s="95"/>
      <c r="B197" s="73"/>
      <c r="C197" s="41"/>
      <c r="D197" s="73"/>
      <c r="E197" s="101"/>
      <c r="F197" s="92"/>
    </row>
    <row r="198" ht="12.75" customHeight="1">
      <c r="A198" s="95"/>
      <c r="B198" s="73"/>
      <c r="C198" s="41"/>
      <c r="D198" s="73"/>
      <c r="E198" s="101"/>
      <c r="F198" s="92"/>
    </row>
    <row r="199" ht="12.75" customHeight="1">
      <c r="A199" s="95"/>
      <c r="B199" s="73"/>
      <c r="C199" s="41"/>
      <c r="D199" s="73"/>
      <c r="E199" s="101"/>
      <c r="F199" s="92"/>
    </row>
    <row r="200" ht="12.75" customHeight="1">
      <c r="A200" s="95"/>
      <c r="B200" s="73"/>
      <c r="C200" s="41"/>
      <c r="D200" s="73"/>
      <c r="E200" s="101"/>
      <c r="F200" s="92"/>
    </row>
    <row r="201" ht="12.75" customHeight="1">
      <c r="A201" s="95"/>
      <c r="B201" s="73"/>
      <c r="C201" s="41"/>
      <c r="D201" s="73"/>
      <c r="E201" s="101"/>
      <c r="F201" s="92"/>
    </row>
    <row r="202" ht="12.75" customHeight="1">
      <c r="A202" s="95"/>
      <c r="B202" s="73"/>
      <c r="C202" s="41"/>
      <c r="D202" s="73"/>
      <c r="E202" s="101"/>
      <c r="F202" s="92"/>
    </row>
    <row r="203" ht="12.75" customHeight="1">
      <c r="A203" s="95"/>
      <c r="B203" s="73"/>
      <c r="C203" s="41"/>
      <c r="D203" s="73"/>
      <c r="E203" s="101"/>
      <c r="F203" s="92"/>
    </row>
    <row r="204" ht="12.75" customHeight="1">
      <c r="A204" s="95"/>
      <c r="B204" s="73"/>
      <c r="C204" s="41"/>
      <c r="D204" s="73"/>
      <c r="E204" s="101"/>
      <c r="F204" s="92"/>
    </row>
    <row r="205" ht="12.75" customHeight="1">
      <c r="A205" s="95"/>
      <c r="B205" s="73"/>
      <c r="C205" s="41"/>
      <c r="D205" s="73"/>
      <c r="E205" s="101"/>
      <c r="F205" s="92"/>
    </row>
    <row r="206" ht="12.75" customHeight="1">
      <c r="A206" s="95"/>
      <c r="B206" s="73"/>
      <c r="C206" s="41"/>
      <c r="D206" s="73"/>
      <c r="E206" s="101"/>
      <c r="F206" s="92"/>
    </row>
    <row r="207" ht="12.75" customHeight="1">
      <c r="A207" s="95"/>
      <c r="B207" s="73"/>
      <c r="C207" s="41"/>
      <c r="D207" s="73"/>
      <c r="E207" s="101"/>
      <c r="F207" s="92"/>
    </row>
    <row r="208" ht="12.75" customHeight="1">
      <c r="A208" s="95"/>
      <c r="B208" s="73"/>
      <c r="C208" s="41"/>
      <c r="D208" s="73"/>
      <c r="E208" s="101"/>
      <c r="F208" s="92"/>
    </row>
    <row r="209" ht="12.75" customHeight="1">
      <c r="A209" s="95"/>
      <c r="B209" s="73"/>
      <c r="C209" s="41"/>
      <c r="D209" s="73"/>
      <c r="E209" s="101"/>
      <c r="F209" s="92"/>
    </row>
    <row r="210" ht="12.75" customHeight="1">
      <c r="A210" s="95"/>
      <c r="B210" s="73"/>
      <c r="C210" s="41"/>
      <c r="D210" s="73"/>
      <c r="E210" s="101"/>
      <c r="F210" s="92"/>
    </row>
    <row r="211" ht="12.75" customHeight="1">
      <c r="A211" s="95"/>
      <c r="B211" s="73"/>
      <c r="C211" s="41"/>
      <c r="D211" s="73"/>
      <c r="E211" s="101"/>
      <c r="F211" s="92"/>
    </row>
    <row r="212" ht="12.75" customHeight="1">
      <c r="A212" s="95"/>
      <c r="B212" s="73"/>
      <c r="C212" s="41"/>
      <c r="D212" s="73"/>
      <c r="E212" s="101"/>
      <c r="F212" s="92"/>
    </row>
    <row r="213" ht="12.75" customHeight="1">
      <c r="A213" s="95"/>
      <c r="B213" s="73"/>
      <c r="C213" s="41"/>
      <c r="D213" s="73"/>
      <c r="E213" s="101"/>
      <c r="F213" s="92"/>
    </row>
    <row r="214" ht="12.75" customHeight="1">
      <c r="A214" s="95"/>
      <c r="B214" s="73"/>
      <c r="C214" s="41"/>
      <c r="D214" s="73"/>
      <c r="E214" s="101"/>
      <c r="F214" s="92"/>
    </row>
    <row r="215" ht="12.75" customHeight="1">
      <c r="A215" s="95"/>
      <c r="B215" s="73"/>
      <c r="C215" s="41"/>
      <c r="D215" s="73"/>
      <c r="E215" s="101"/>
      <c r="F215" s="92"/>
    </row>
    <row r="216" ht="12.75" customHeight="1">
      <c r="A216" s="95"/>
      <c r="B216" s="73"/>
      <c r="C216" s="41"/>
      <c r="D216" s="73"/>
      <c r="E216" s="101"/>
      <c r="F216" s="92"/>
    </row>
    <row r="217" ht="12.75" customHeight="1">
      <c r="A217" s="95"/>
      <c r="B217" s="73"/>
      <c r="C217" s="41"/>
      <c r="D217" s="73"/>
      <c r="E217" s="101"/>
      <c r="F217" s="92"/>
    </row>
    <row r="218" ht="12.75" customHeight="1">
      <c r="A218" s="95"/>
      <c r="B218" s="73"/>
      <c r="C218" s="41"/>
      <c r="D218" s="73"/>
      <c r="E218" s="101"/>
      <c r="F218" s="92"/>
    </row>
    <row r="219" ht="12.75" customHeight="1">
      <c r="A219" s="95"/>
      <c r="B219" s="73"/>
      <c r="C219" s="41"/>
      <c r="D219" s="73"/>
      <c r="E219" s="101"/>
      <c r="F219" s="92"/>
    </row>
    <row r="220" ht="12.75" customHeight="1">
      <c r="A220" s="95"/>
      <c r="B220" s="73"/>
      <c r="C220" s="41"/>
      <c r="D220" s="73"/>
      <c r="E220" s="101"/>
      <c r="F220" s="92"/>
    </row>
    <row r="221" ht="12.75" customHeight="1">
      <c r="A221" s="100"/>
      <c r="B221" s="93"/>
      <c r="C221" s="41"/>
      <c r="D221" s="100"/>
      <c r="E221" s="101"/>
      <c r="F221" s="100"/>
    </row>
    <row r="222" ht="12.75" customHeight="1">
      <c r="A222" s="100"/>
      <c r="B222" s="93"/>
      <c r="C222" s="41"/>
      <c r="D222" s="100"/>
      <c r="E222" s="101"/>
      <c r="F222" s="100"/>
    </row>
    <row r="223" ht="12.75" customHeight="1">
      <c r="A223" s="100"/>
      <c r="B223" s="93"/>
      <c r="C223" s="41"/>
      <c r="D223" s="100"/>
      <c r="E223" s="101"/>
      <c r="F223" s="100"/>
    </row>
    <row r="224" ht="12.75" customHeight="1">
      <c r="A224" s="100"/>
      <c r="B224" s="93"/>
      <c r="C224" s="41"/>
      <c r="D224" s="100"/>
      <c r="E224" s="101"/>
      <c r="F224" s="100"/>
    </row>
    <row r="225" ht="12.75" customHeight="1">
      <c r="A225" s="100"/>
      <c r="B225" s="93"/>
      <c r="C225" s="41"/>
      <c r="D225" s="100"/>
      <c r="E225" s="101"/>
      <c r="F225" s="100"/>
    </row>
    <row r="226" ht="12.75" customHeight="1">
      <c r="A226" s="100"/>
      <c r="B226" s="93"/>
      <c r="C226" s="41"/>
      <c r="D226" s="100"/>
      <c r="E226" s="101"/>
      <c r="F226" s="100"/>
    </row>
    <row r="227" ht="12.75" customHeight="1">
      <c r="A227" s="100"/>
      <c r="B227" s="93"/>
      <c r="C227" s="41"/>
      <c r="D227" s="100"/>
      <c r="E227" s="101"/>
      <c r="F227" s="100"/>
    </row>
    <row r="228" ht="12.75" customHeight="1">
      <c r="A228" s="100"/>
      <c r="B228" s="93"/>
      <c r="C228" s="41"/>
      <c r="D228" s="100"/>
      <c r="E228" s="101"/>
      <c r="F228" s="100"/>
    </row>
    <row r="229" ht="12.75" customHeight="1">
      <c r="A229" s="100"/>
      <c r="B229" s="93"/>
      <c r="C229" s="41"/>
      <c r="D229" s="100"/>
      <c r="E229" s="101"/>
      <c r="F229" s="100"/>
    </row>
    <row r="230" ht="12.75" customHeight="1">
      <c r="A230" s="100"/>
      <c r="B230" s="93"/>
      <c r="C230" s="41"/>
      <c r="D230" s="100"/>
      <c r="E230" s="101"/>
      <c r="F230" s="100"/>
    </row>
    <row r="231" ht="12.75" customHeight="1">
      <c r="A231" s="100"/>
      <c r="B231" s="93"/>
      <c r="C231" s="41"/>
      <c r="D231" s="100"/>
      <c r="E231" s="101"/>
      <c r="F231" s="100"/>
    </row>
    <row r="232" ht="12.75" customHeight="1">
      <c r="A232" s="100"/>
      <c r="B232" s="93"/>
      <c r="C232" s="41"/>
      <c r="D232" s="100"/>
      <c r="E232" s="101"/>
      <c r="F232" s="100"/>
    </row>
    <row r="233" ht="12.75" customHeight="1">
      <c r="A233" s="100"/>
      <c r="B233" s="93"/>
      <c r="C233" s="41"/>
      <c r="D233" s="100"/>
      <c r="E233" s="101"/>
      <c r="F233" s="100"/>
    </row>
    <row r="234" ht="12.75" customHeight="1">
      <c r="A234" s="100"/>
      <c r="B234" s="93"/>
      <c r="C234" s="41"/>
      <c r="D234" s="100"/>
      <c r="E234" s="101"/>
      <c r="F234" s="100"/>
    </row>
    <row r="235" ht="12.75" customHeight="1">
      <c r="A235" s="100"/>
      <c r="B235" s="93"/>
      <c r="C235" s="41"/>
      <c r="D235" s="100"/>
      <c r="E235" s="101"/>
      <c r="F235" s="100"/>
    </row>
    <row r="236" ht="12.75" customHeight="1">
      <c r="A236" s="100"/>
      <c r="B236" s="93"/>
      <c r="C236" s="41"/>
      <c r="D236" s="100"/>
      <c r="E236" s="101"/>
      <c r="F236" s="100"/>
    </row>
    <row r="237" ht="12.75" customHeight="1">
      <c r="A237" s="100"/>
      <c r="B237" s="93"/>
      <c r="C237" s="41"/>
      <c r="D237" s="100"/>
      <c r="E237" s="101"/>
      <c r="F237" s="100"/>
    </row>
    <row r="238" ht="12.75" customHeight="1">
      <c r="A238" s="100"/>
      <c r="B238" s="93"/>
      <c r="C238" s="41"/>
      <c r="D238" s="100"/>
      <c r="E238" s="101"/>
      <c r="F238" s="100"/>
    </row>
    <row r="239" ht="12.75" customHeight="1">
      <c r="A239" s="100"/>
      <c r="B239" s="93"/>
      <c r="C239" s="41"/>
      <c r="D239" s="100"/>
      <c r="E239" s="101"/>
      <c r="F239" s="100"/>
    </row>
    <row r="240" ht="12.75" customHeight="1">
      <c r="A240" s="100"/>
      <c r="B240" s="93"/>
      <c r="C240" s="41"/>
      <c r="D240" s="100"/>
      <c r="E240" s="101"/>
      <c r="F240" s="100"/>
    </row>
    <row r="241" ht="12.75" customHeight="1">
      <c r="A241" s="100"/>
      <c r="B241" s="93"/>
      <c r="C241" s="41"/>
      <c r="D241" s="100"/>
      <c r="E241" s="101"/>
      <c r="F241" s="100"/>
    </row>
    <row r="242" ht="12.75" customHeight="1">
      <c r="A242" s="100"/>
      <c r="B242" s="93"/>
      <c r="C242" s="41"/>
      <c r="D242" s="100"/>
      <c r="E242" s="101"/>
      <c r="F242" s="100"/>
    </row>
    <row r="243" ht="12.75" customHeight="1">
      <c r="A243" s="100"/>
      <c r="B243" s="93"/>
      <c r="C243" s="41"/>
      <c r="D243" s="100"/>
      <c r="E243" s="101"/>
      <c r="F243" s="100"/>
    </row>
    <row r="244" ht="12.75" customHeight="1">
      <c r="A244" s="100"/>
      <c r="B244" s="93"/>
      <c r="C244" s="41"/>
      <c r="D244" s="100"/>
      <c r="E244" s="101"/>
      <c r="F244" s="100"/>
    </row>
    <row r="245" ht="12.75" customHeight="1">
      <c r="A245" s="100"/>
      <c r="B245" s="93"/>
      <c r="C245" s="41"/>
      <c r="D245" s="100"/>
      <c r="E245" s="101"/>
      <c r="F245" s="100"/>
    </row>
    <row r="246" ht="12.75" customHeight="1">
      <c r="A246" s="100"/>
      <c r="B246" s="93"/>
      <c r="C246" s="41"/>
      <c r="D246" s="100"/>
      <c r="E246" s="101"/>
      <c r="F246" s="100"/>
    </row>
    <row r="247" ht="12.75" customHeight="1">
      <c r="A247" s="100"/>
      <c r="B247" s="93"/>
      <c r="C247" s="41"/>
      <c r="D247" s="100"/>
      <c r="E247" s="101"/>
      <c r="F247" s="100"/>
    </row>
    <row r="248" ht="12.75" customHeight="1">
      <c r="A248" s="100"/>
      <c r="B248" s="93"/>
      <c r="C248" s="41"/>
      <c r="D248" s="100"/>
      <c r="E248" s="101"/>
      <c r="F248" s="100"/>
    </row>
    <row r="249" ht="12.75" customHeight="1">
      <c r="A249" s="100"/>
      <c r="B249" s="93"/>
      <c r="C249" s="41"/>
      <c r="D249" s="100"/>
      <c r="E249" s="101"/>
      <c r="F249" s="100"/>
    </row>
    <row r="250" ht="12.75" customHeight="1">
      <c r="A250" s="100"/>
      <c r="B250" s="93"/>
      <c r="C250" s="41"/>
      <c r="D250" s="100"/>
      <c r="E250" s="101"/>
      <c r="F250" s="100"/>
    </row>
    <row r="251" ht="12.75" customHeight="1">
      <c r="A251" s="100"/>
      <c r="B251" s="93"/>
      <c r="C251" s="41"/>
      <c r="D251" s="100"/>
      <c r="E251" s="101"/>
      <c r="F251" s="100"/>
    </row>
    <row r="252" ht="12.75" customHeight="1">
      <c r="A252" s="100"/>
      <c r="B252" s="93"/>
      <c r="C252" s="41"/>
      <c r="D252" s="100"/>
      <c r="E252" s="101"/>
      <c r="F252" s="100"/>
    </row>
    <row r="253" ht="12.75" customHeight="1">
      <c r="A253" s="100"/>
      <c r="B253" s="93"/>
      <c r="C253" s="41"/>
      <c r="D253" s="100"/>
      <c r="E253" s="101"/>
      <c r="F253" s="100"/>
    </row>
    <row r="254" ht="12.75" customHeight="1">
      <c r="A254" s="100"/>
      <c r="B254" s="93"/>
      <c r="C254" s="41"/>
      <c r="D254" s="100"/>
      <c r="E254" s="101"/>
      <c r="F254" s="100"/>
    </row>
    <row r="255" ht="12.75" customHeight="1">
      <c r="A255" s="100"/>
      <c r="B255" s="93"/>
      <c r="C255" s="41"/>
      <c r="D255" s="100"/>
      <c r="E255" s="101"/>
      <c r="F255" s="100"/>
    </row>
    <row r="256" ht="12.75" customHeight="1">
      <c r="A256" s="100"/>
      <c r="B256" s="93"/>
      <c r="C256" s="41"/>
      <c r="D256" s="100"/>
      <c r="E256" s="101"/>
      <c r="F256" s="100"/>
    </row>
    <row r="257" ht="12.75" customHeight="1">
      <c r="A257" s="100"/>
      <c r="B257" s="93"/>
      <c r="C257" s="41"/>
      <c r="D257" s="100"/>
      <c r="E257" s="101"/>
      <c r="F257" s="100"/>
    </row>
    <row r="258" ht="12.75" customHeight="1">
      <c r="A258" s="100"/>
      <c r="B258" s="93"/>
      <c r="C258" s="41"/>
      <c r="D258" s="100"/>
      <c r="E258" s="101"/>
      <c r="F258" s="100"/>
    </row>
    <row r="259" ht="12.75" customHeight="1">
      <c r="A259" s="100"/>
      <c r="B259" s="93"/>
      <c r="C259" s="41"/>
      <c r="D259" s="100"/>
      <c r="E259" s="101"/>
      <c r="F259" s="100"/>
    </row>
    <row r="260" ht="12.75" customHeight="1">
      <c r="A260" s="100"/>
      <c r="B260" s="93"/>
      <c r="C260" s="41"/>
      <c r="D260" s="100"/>
      <c r="E260" s="101"/>
      <c r="F260" s="100"/>
    </row>
    <row r="261" ht="12.75" customHeight="1">
      <c r="A261" s="100"/>
      <c r="B261" s="93"/>
      <c r="C261" s="41"/>
      <c r="D261" s="100"/>
      <c r="E261" s="101"/>
      <c r="F261" s="100"/>
    </row>
    <row r="262" ht="12.75" customHeight="1">
      <c r="A262" s="100"/>
      <c r="B262" s="93"/>
      <c r="C262" s="41"/>
      <c r="D262" s="100"/>
      <c r="E262" s="101"/>
      <c r="F262" s="100"/>
    </row>
    <row r="263" ht="12.75" customHeight="1">
      <c r="A263" s="100"/>
      <c r="B263" s="93"/>
      <c r="C263" s="41"/>
      <c r="D263" s="100"/>
      <c r="E263" s="101"/>
      <c r="F263" s="100"/>
    </row>
    <row r="264" ht="12.75" customHeight="1">
      <c r="A264" s="100"/>
      <c r="B264" s="93"/>
      <c r="C264" s="41"/>
      <c r="D264" s="100"/>
      <c r="E264" s="101"/>
      <c r="F264" s="100"/>
    </row>
    <row r="265" ht="12.75" customHeight="1">
      <c r="A265" s="100"/>
      <c r="B265" s="93"/>
      <c r="C265" s="41"/>
      <c r="D265" s="100"/>
      <c r="E265" s="101"/>
      <c r="F265" s="100"/>
    </row>
    <row r="266" ht="12.75" customHeight="1">
      <c r="A266" s="100"/>
      <c r="B266" s="93"/>
      <c r="C266" s="41"/>
      <c r="D266" s="100"/>
      <c r="E266" s="101"/>
      <c r="F266" s="100"/>
    </row>
    <row r="267" ht="12.75" customHeight="1">
      <c r="A267" s="100"/>
      <c r="B267" s="93"/>
      <c r="C267" s="41"/>
      <c r="D267" s="100"/>
      <c r="E267" s="101"/>
      <c r="F267" s="100"/>
    </row>
    <row r="268" ht="12.75" customHeight="1">
      <c r="A268" s="100"/>
      <c r="B268" s="93"/>
      <c r="C268" s="41"/>
      <c r="D268" s="100"/>
      <c r="E268" s="101"/>
      <c r="F268" s="100"/>
    </row>
    <row r="269" ht="12.75" customHeight="1">
      <c r="A269" s="100"/>
      <c r="B269" s="93"/>
      <c r="C269" s="41"/>
      <c r="D269" s="100"/>
      <c r="E269" s="101"/>
      <c r="F269" s="100"/>
    </row>
    <row r="270" ht="12.75" customHeight="1">
      <c r="A270" s="100"/>
      <c r="B270" s="93"/>
      <c r="C270" s="41"/>
      <c r="D270" s="100"/>
      <c r="E270" s="101"/>
      <c r="F270" s="100"/>
    </row>
    <row r="271" ht="12.75" customHeight="1">
      <c r="A271" s="100"/>
      <c r="B271" s="93"/>
      <c r="C271" s="41"/>
      <c r="D271" s="100"/>
      <c r="E271" s="101"/>
      <c r="F271" s="100"/>
    </row>
    <row r="272" ht="12.75" customHeight="1">
      <c r="A272" s="100"/>
      <c r="B272" s="93"/>
      <c r="C272" s="41"/>
      <c r="D272" s="100"/>
      <c r="E272" s="101"/>
      <c r="F272" s="100"/>
    </row>
    <row r="273" ht="12.75" customHeight="1">
      <c r="A273" s="100"/>
      <c r="B273" s="93"/>
      <c r="C273" s="41"/>
      <c r="D273" s="100"/>
      <c r="E273" s="101"/>
      <c r="F273" s="100"/>
    </row>
    <row r="274" ht="12.75" customHeight="1">
      <c r="A274" s="100"/>
      <c r="B274" s="93"/>
      <c r="C274" s="41"/>
      <c r="D274" s="100"/>
      <c r="E274" s="101"/>
      <c r="F274" s="100"/>
    </row>
    <row r="275" ht="12.75" customHeight="1">
      <c r="A275" s="100"/>
      <c r="B275" s="93"/>
      <c r="C275" s="41"/>
      <c r="D275" s="100"/>
      <c r="E275" s="101"/>
      <c r="F275" s="100"/>
    </row>
    <row r="276" ht="12.75" customHeight="1">
      <c r="A276" s="100"/>
      <c r="B276" s="93"/>
      <c r="C276" s="41"/>
      <c r="D276" s="100"/>
      <c r="E276" s="101"/>
      <c r="F276" s="100"/>
    </row>
    <row r="277" ht="12.75" customHeight="1">
      <c r="A277" s="100"/>
      <c r="B277" s="93"/>
      <c r="C277" s="41"/>
      <c r="D277" s="100"/>
      <c r="E277" s="101"/>
      <c r="F277" s="100"/>
    </row>
    <row r="278" ht="12.75" customHeight="1">
      <c r="A278" s="100"/>
      <c r="B278" s="93"/>
      <c r="C278" s="41"/>
      <c r="D278" s="100"/>
      <c r="E278" s="101"/>
      <c r="F278" s="100"/>
    </row>
    <row r="279" ht="12.75" customHeight="1">
      <c r="A279" s="100"/>
      <c r="B279" s="93"/>
      <c r="C279" s="41"/>
      <c r="D279" s="100"/>
      <c r="E279" s="101"/>
      <c r="F279" s="100"/>
    </row>
    <row r="280" ht="12.75" customHeight="1">
      <c r="A280" s="100"/>
      <c r="B280" s="93"/>
      <c r="C280" s="41"/>
      <c r="D280" s="100"/>
      <c r="E280" s="101"/>
      <c r="F280" s="100"/>
    </row>
    <row r="281" ht="12.75" customHeight="1">
      <c r="A281" s="100"/>
      <c r="B281" s="93"/>
      <c r="C281" s="41"/>
      <c r="D281" s="100"/>
      <c r="E281" s="101"/>
      <c r="F281" s="100"/>
    </row>
    <row r="282" ht="12.75" customHeight="1">
      <c r="A282" s="100"/>
      <c r="B282" s="93"/>
      <c r="C282" s="41"/>
      <c r="D282" s="100"/>
      <c r="E282" s="101"/>
      <c r="F282" s="100"/>
    </row>
    <row r="283" ht="12.75" customHeight="1">
      <c r="A283" s="100"/>
      <c r="B283" s="93"/>
      <c r="C283" s="41"/>
      <c r="D283" s="100"/>
      <c r="E283" s="101"/>
      <c r="F283" s="100"/>
    </row>
    <row r="284" ht="12.75" customHeight="1">
      <c r="A284" s="100"/>
      <c r="B284" s="93"/>
      <c r="C284" s="41"/>
      <c r="D284" s="100"/>
      <c r="E284" s="101"/>
      <c r="F284" s="100"/>
    </row>
    <row r="285" ht="12.75" customHeight="1">
      <c r="A285" s="100"/>
      <c r="B285" s="93"/>
      <c r="C285" s="41"/>
      <c r="D285" s="100"/>
      <c r="E285" s="101"/>
      <c r="F285" s="100"/>
    </row>
    <row r="286" ht="12.75" customHeight="1">
      <c r="A286" s="100"/>
      <c r="B286" s="93"/>
      <c r="C286" s="41"/>
      <c r="D286" s="100"/>
      <c r="E286" s="101"/>
      <c r="F286" s="100"/>
    </row>
    <row r="287" ht="12.75" customHeight="1">
      <c r="A287" s="100"/>
      <c r="B287" s="93"/>
      <c r="C287" s="41"/>
      <c r="D287" s="100"/>
      <c r="E287" s="101"/>
      <c r="F287" s="100"/>
    </row>
    <row r="288" ht="12.75" customHeight="1">
      <c r="A288" s="100"/>
      <c r="B288" s="93"/>
      <c r="C288" s="41"/>
      <c r="D288" s="100"/>
      <c r="E288" s="101"/>
      <c r="F288" s="100"/>
    </row>
    <row r="289" ht="12.75" customHeight="1">
      <c r="A289" s="100"/>
      <c r="B289" s="93"/>
      <c r="C289" s="41"/>
      <c r="D289" s="100"/>
      <c r="E289" s="101"/>
      <c r="F289" s="100"/>
    </row>
    <row r="290" ht="12.75" customHeight="1">
      <c r="A290" s="100"/>
      <c r="B290" s="93"/>
      <c r="C290" s="41"/>
      <c r="D290" s="100"/>
      <c r="E290" s="101"/>
      <c r="F290" s="100"/>
    </row>
    <row r="291" ht="12.75" customHeight="1">
      <c r="A291" s="100"/>
      <c r="B291" s="93"/>
      <c r="C291" s="41"/>
      <c r="D291" s="100"/>
      <c r="E291" s="101"/>
      <c r="F291" s="100"/>
    </row>
    <row r="292" ht="12.75" customHeight="1">
      <c r="A292" s="100"/>
      <c r="B292" s="93"/>
      <c r="C292" s="41"/>
      <c r="D292" s="100"/>
      <c r="E292" s="101"/>
      <c r="F292" s="100"/>
    </row>
    <row r="293" ht="12.75" customHeight="1">
      <c r="A293" s="100"/>
      <c r="B293" s="93"/>
      <c r="C293" s="41"/>
      <c r="D293" s="100"/>
      <c r="E293" s="101"/>
      <c r="F293" s="100"/>
    </row>
    <row r="294" ht="12.75" customHeight="1">
      <c r="A294" s="100"/>
      <c r="B294" s="93"/>
      <c r="C294" s="41"/>
      <c r="D294" s="100"/>
      <c r="E294" s="101"/>
      <c r="F294" s="100"/>
    </row>
    <row r="295" ht="12.75" customHeight="1">
      <c r="A295" s="100"/>
      <c r="B295" s="93"/>
      <c r="C295" s="41"/>
      <c r="D295" s="100"/>
      <c r="E295" s="101"/>
      <c r="F295" s="100"/>
    </row>
    <row r="296" ht="12.75" customHeight="1">
      <c r="A296" s="100"/>
      <c r="B296" s="93"/>
      <c r="C296" s="41"/>
      <c r="D296" s="100"/>
      <c r="E296" s="101"/>
      <c r="F296" s="100"/>
    </row>
    <row r="297" ht="12.75" customHeight="1">
      <c r="A297" s="100"/>
      <c r="B297" s="93"/>
      <c r="C297" s="41"/>
      <c r="D297" s="100"/>
      <c r="E297" s="101"/>
      <c r="F297" s="100"/>
    </row>
    <row r="298" ht="12.75" customHeight="1">
      <c r="A298" s="100"/>
      <c r="B298" s="93"/>
      <c r="C298" s="41"/>
      <c r="D298" s="100"/>
      <c r="E298" s="101"/>
      <c r="F298" s="100"/>
    </row>
    <row r="299" ht="12.75" customHeight="1">
      <c r="A299" s="100"/>
      <c r="B299" s="93"/>
      <c r="C299" s="41"/>
      <c r="D299" s="100"/>
      <c r="E299" s="101"/>
      <c r="F299" s="100"/>
    </row>
    <row r="300" ht="12.75" customHeight="1">
      <c r="A300" s="100"/>
      <c r="B300" s="93"/>
      <c r="C300" s="41"/>
      <c r="D300" s="100"/>
      <c r="E300" s="101"/>
      <c r="F300" s="100"/>
    </row>
    <row r="301" ht="12.75" customHeight="1">
      <c r="A301" s="100"/>
      <c r="B301" s="93"/>
      <c r="C301" s="41"/>
      <c r="D301" s="100"/>
      <c r="E301" s="101"/>
      <c r="F301" s="100"/>
    </row>
    <row r="302" ht="12.75" customHeight="1">
      <c r="A302" s="100"/>
      <c r="B302" s="93"/>
      <c r="C302" s="41"/>
      <c r="D302" s="100"/>
      <c r="E302" s="101"/>
      <c r="F302" s="100"/>
    </row>
    <row r="303" ht="12.75" customHeight="1">
      <c r="A303" s="100"/>
      <c r="B303" s="93"/>
      <c r="C303" s="41"/>
      <c r="D303" s="100"/>
      <c r="E303" s="101"/>
      <c r="F303" s="100"/>
    </row>
    <row r="304" ht="12.75" customHeight="1">
      <c r="A304" s="100"/>
      <c r="B304" s="93"/>
      <c r="C304" s="41"/>
      <c r="D304" s="100"/>
      <c r="E304" s="101"/>
      <c r="F304" s="100"/>
    </row>
    <row r="305" ht="12.75" customHeight="1">
      <c r="A305" s="100"/>
      <c r="B305" s="93"/>
      <c r="C305" s="41"/>
      <c r="D305" s="100"/>
      <c r="E305" s="101"/>
      <c r="F305" s="100"/>
    </row>
    <row r="306" ht="12.75" customHeight="1">
      <c r="A306" s="100"/>
      <c r="B306" s="93"/>
      <c r="C306" s="41"/>
      <c r="D306" s="100"/>
      <c r="E306" s="101"/>
      <c r="F306" s="100"/>
    </row>
    <row r="307" ht="12.75" customHeight="1">
      <c r="A307" s="100"/>
      <c r="B307" s="93"/>
      <c r="C307" s="41"/>
      <c r="D307" s="100"/>
      <c r="E307" s="101"/>
      <c r="F307" s="100"/>
    </row>
    <row r="308" ht="12.75" customHeight="1">
      <c r="A308" s="100"/>
      <c r="B308" s="93"/>
      <c r="C308" s="41"/>
      <c r="D308" s="100"/>
      <c r="E308" s="101"/>
      <c r="F308" s="100"/>
    </row>
    <row r="309" ht="12.75" customHeight="1">
      <c r="A309" s="100"/>
      <c r="B309" s="93"/>
      <c r="C309" s="41"/>
      <c r="D309" s="100"/>
      <c r="E309" s="101"/>
      <c r="F309" s="100"/>
    </row>
    <row r="310" ht="12.75" customHeight="1">
      <c r="A310" s="100"/>
      <c r="B310" s="93"/>
      <c r="C310" s="41"/>
      <c r="D310" s="100"/>
      <c r="E310" s="101"/>
      <c r="F310" s="100"/>
    </row>
    <row r="311" ht="12.75" customHeight="1">
      <c r="A311" s="100"/>
      <c r="B311" s="93"/>
      <c r="C311" s="41"/>
      <c r="D311" s="100"/>
      <c r="E311" s="101"/>
      <c r="F311" s="100"/>
    </row>
    <row r="312" ht="12.75" customHeight="1">
      <c r="A312" s="100"/>
      <c r="B312" s="93"/>
      <c r="C312" s="41"/>
      <c r="D312" s="100"/>
      <c r="E312" s="101"/>
      <c r="F312" s="100"/>
    </row>
    <row r="313" ht="12.75" customHeight="1">
      <c r="A313" s="100"/>
      <c r="B313" s="93"/>
      <c r="C313" s="41"/>
      <c r="D313" s="100"/>
      <c r="E313" s="101"/>
      <c r="F313" s="100"/>
    </row>
    <row r="314" ht="12.75" customHeight="1">
      <c r="A314" s="100"/>
      <c r="B314" s="93"/>
      <c r="C314" s="41"/>
      <c r="D314" s="100"/>
      <c r="E314" s="101"/>
      <c r="F314" s="100"/>
    </row>
    <row r="315" ht="12.75" customHeight="1">
      <c r="A315" s="100"/>
      <c r="B315" s="93"/>
      <c r="C315" s="41"/>
      <c r="D315" s="100"/>
      <c r="E315" s="101"/>
      <c r="F315" s="100"/>
    </row>
    <row r="316" ht="12.75" customHeight="1">
      <c r="A316" s="100"/>
      <c r="B316" s="93"/>
      <c r="C316" s="41"/>
      <c r="D316" s="100"/>
      <c r="E316" s="101"/>
      <c r="F316" s="100"/>
    </row>
    <row r="317" ht="12.75" customHeight="1">
      <c r="A317" s="100"/>
      <c r="B317" s="93"/>
      <c r="C317" s="41"/>
      <c r="D317" s="100"/>
      <c r="E317" s="101"/>
      <c r="F317" s="100"/>
    </row>
    <row r="318" ht="12.75" customHeight="1">
      <c r="A318" s="100"/>
      <c r="B318" s="93"/>
      <c r="C318" s="41"/>
      <c r="D318" s="100"/>
      <c r="E318" s="101"/>
      <c r="F318" s="100"/>
    </row>
    <row r="319" ht="12.75" customHeight="1">
      <c r="A319" s="100"/>
      <c r="B319" s="93"/>
      <c r="C319" s="41"/>
      <c r="D319" s="100"/>
      <c r="E319" s="101"/>
      <c r="F319" s="100"/>
    </row>
    <row r="320" ht="12.75" customHeight="1">
      <c r="A320" s="100"/>
      <c r="B320" s="93"/>
      <c r="C320" s="41"/>
      <c r="D320" s="100"/>
      <c r="E320" s="101"/>
      <c r="F320" s="100"/>
    </row>
    <row r="321" ht="12.75" customHeight="1">
      <c r="A321" s="100"/>
      <c r="B321" s="93"/>
      <c r="C321" s="41"/>
      <c r="D321" s="100"/>
      <c r="E321" s="101"/>
      <c r="F321" s="100"/>
    </row>
    <row r="322" ht="12.75" customHeight="1">
      <c r="A322" s="100"/>
      <c r="B322" s="93"/>
      <c r="C322" s="41"/>
      <c r="D322" s="100"/>
      <c r="E322" s="101"/>
      <c r="F322" s="100"/>
    </row>
    <row r="323" ht="12.75" customHeight="1">
      <c r="A323" s="100"/>
      <c r="B323" s="93"/>
      <c r="C323" s="41"/>
      <c r="D323" s="100"/>
      <c r="E323" s="101"/>
      <c r="F323" s="100"/>
    </row>
    <row r="324" ht="12.75" customHeight="1">
      <c r="A324" s="100"/>
      <c r="B324" s="93"/>
      <c r="C324" s="41"/>
      <c r="D324" s="100"/>
      <c r="E324" s="101"/>
      <c r="F324" s="100"/>
    </row>
    <row r="325" ht="12.75" customHeight="1">
      <c r="A325" s="100"/>
      <c r="B325" s="93"/>
      <c r="C325" s="41"/>
      <c r="D325" s="100"/>
      <c r="E325" s="101"/>
      <c r="F325" s="100"/>
    </row>
    <row r="326" ht="12.75" customHeight="1">
      <c r="A326" s="100"/>
      <c r="B326" s="93"/>
      <c r="C326" s="41"/>
      <c r="D326" s="100"/>
      <c r="E326" s="101"/>
      <c r="F326" s="100"/>
    </row>
    <row r="327" ht="12.75" customHeight="1">
      <c r="A327" s="100"/>
      <c r="B327" s="93"/>
      <c r="C327" s="41"/>
      <c r="D327" s="100"/>
      <c r="E327" s="101"/>
      <c r="F327" s="100"/>
    </row>
    <row r="328" ht="12.75" customHeight="1">
      <c r="A328" s="100"/>
      <c r="B328" s="93"/>
      <c r="C328" s="41"/>
      <c r="D328" s="100"/>
      <c r="E328" s="101"/>
      <c r="F328" s="100"/>
    </row>
    <row r="329" ht="12.75" customHeight="1">
      <c r="A329" s="100"/>
      <c r="B329" s="93"/>
      <c r="C329" s="41"/>
      <c r="D329" s="100"/>
      <c r="E329" s="101"/>
      <c r="F329" s="100"/>
    </row>
    <row r="330" ht="12.75" customHeight="1">
      <c r="A330" s="100"/>
      <c r="B330" s="93"/>
      <c r="C330" s="41"/>
      <c r="D330" s="100"/>
      <c r="E330" s="101"/>
      <c r="F330" s="100"/>
    </row>
    <row r="331" ht="12.75" customHeight="1">
      <c r="A331" s="100"/>
      <c r="B331" s="93"/>
      <c r="C331" s="41"/>
      <c r="D331" s="100"/>
      <c r="E331" s="101"/>
      <c r="F331" s="100"/>
    </row>
    <row r="332" ht="12.75" customHeight="1">
      <c r="A332" s="100"/>
      <c r="B332" s="93"/>
      <c r="C332" s="41"/>
      <c r="D332" s="100"/>
      <c r="E332" s="101"/>
      <c r="F332" s="100"/>
    </row>
    <row r="333" ht="12.75" customHeight="1">
      <c r="A333" s="100"/>
      <c r="B333" s="93"/>
      <c r="C333" s="41"/>
      <c r="D333" s="100"/>
      <c r="E333" s="101"/>
      <c r="F333" s="100"/>
    </row>
    <row r="334" ht="12.75" customHeight="1">
      <c r="A334" s="100"/>
      <c r="B334" s="93"/>
      <c r="C334" s="41"/>
      <c r="D334" s="100"/>
      <c r="E334" s="101"/>
      <c r="F334" s="100"/>
    </row>
    <row r="335" ht="12.75" customHeight="1">
      <c r="A335" s="100"/>
      <c r="B335" s="93"/>
      <c r="C335" s="41"/>
      <c r="D335" s="100"/>
      <c r="E335" s="101"/>
      <c r="F335" s="100"/>
    </row>
    <row r="336" ht="12.75" customHeight="1">
      <c r="A336" s="100"/>
      <c r="B336" s="93"/>
      <c r="C336" s="41"/>
      <c r="D336" s="100"/>
      <c r="E336" s="101"/>
      <c r="F336" s="100"/>
    </row>
    <row r="337" ht="12.75" customHeight="1">
      <c r="A337" s="100"/>
      <c r="B337" s="93"/>
      <c r="C337" s="41"/>
      <c r="D337" s="100"/>
      <c r="E337" s="101"/>
      <c r="F337" s="100"/>
    </row>
    <row r="338" ht="12.75" customHeight="1">
      <c r="A338" s="100"/>
      <c r="B338" s="93"/>
      <c r="C338" s="41"/>
      <c r="D338" s="100"/>
      <c r="E338" s="101"/>
      <c r="F338" s="100"/>
    </row>
    <row r="339" ht="12.75" customHeight="1">
      <c r="A339" s="100"/>
      <c r="B339" s="93"/>
      <c r="C339" s="41"/>
      <c r="D339" s="100"/>
      <c r="E339" s="101"/>
      <c r="F339" s="100"/>
    </row>
    <row r="340" ht="12.75" customHeight="1">
      <c r="A340" s="100"/>
      <c r="B340" s="93"/>
      <c r="C340" s="41"/>
      <c r="D340" s="100"/>
      <c r="E340" s="101"/>
      <c r="F340" s="100"/>
    </row>
    <row r="341" ht="12.75" customHeight="1">
      <c r="A341" s="100"/>
      <c r="B341" s="93"/>
      <c r="C341" s="41"/>
      <c r="D341" s="100"/>
      <c r="E341" s="101"/>
      <c r="F341" s="100"/>
    </row>
    <row r="342" ht="12.75" customHeight="1">
      <c r="A342" s="100"/>
      <c r="B342" s="93"/>
      <c r="C342" s="41"/>
      <c r="D342" s="100"/>
      <c r="E342" s="101"/>
      <c r="F342" s="100"/>
    </row>
    <row r="343" ht="12.75" customHeight="1">
      <c r="A343" s="100"/>
      <c r="B343" s="93"/>
      <c r="C343" s="41"/>
      <c r="D343" s="100"/>
      <c r="E343" s="101"/>
      <c r="F343" s="100"/>
    </row>
    <row r="344" ht="12.75" customHeight="1">
      <c r="A344" s="100"/>
      <c r="B344" s="93"/>
      <c r="C344" s="41"/>
      <c r="D344" s="100"/>
      <c r="E344" s="101"/>
      <c r="F344" s="100"/>
    </row>
    <row r="345" ht="12.75" customHeight="1">
      <c r="A345" s="100"/>
      <c r="B345" s="93"/>
      <c r="C345" s="41"/>
      <c r="D345" s="100"/>
      <c r="E345" s="101"/>
      <c r="F345" s="100"/>
    </row>
    <row r="346" ht="12.75" customHeight="1">
      <c r="A346" s="100"/>
      <c r="B346" s="93"/>
      <c r="C346" s="41"/>
      <c r="D346" s="100"/>
      <c r="E346" s="101"/>
      <c r="F346" s="100"/>
    </row>
    <row r="347" ht="12.75" customHeight="1">
      <c r="A347" s="100"/>
      <c r="B347" s="93"/>
      <c r="C347" s="41"/>
      <c r="D347" s="100"/>
      <c r="E347" s="101"/>
      <c r="F347" s="100"/>
    </row>
    <row r="348" ht="12.75" customHeight="1">
      <c r="A348" s="100"/>
      <c r="B348" s="93"/>
      <c r="C348" s="41"/>
      <c r="D348" s="100"/>
      <c r="E348" s="101"/>
      <c r="F348" s="100"/>
    </row>
    <row r="349" ht="12.75" customHeight="1">
      <c r="A349" s="100"/>
      <c r="B349" s="93"/>
      <c r="C349" s="41"/>
      <c r="D349" s="100"/>
      <c r="E349" s="101"/>
      <c r="F349" s="100"/>
    </row>
    <row r="350" ht="12.75" customHeight="1">
      <c r="A350" s="100"/>
      <c r="B350" s="93"/>
      <c r="C350" s="41"/>
      <c r="D350" s="100"/>
      <c r="E350" s="101"/>
      <c r="F350" s="100"/>
    </row>
    <row r="351" ht="12.75" customHeight="1">
      <c r="A351" s="100"/>
      <c r="B351" s="93"/>
      <c r="C351" s="41"/>
      <c r="D351" s="100"/>
      <c r="E351" s="101"/>
      <c r="F351" s="100"/>
    </row>
    <row r="352" ht="12.75" customHeight="1">
      <c r="A352" s="100"/>
      <c r="B352" s="93"/>
      <c r="C352" s="41"/>
      <c r="D352" s="100"/>
      <c r="E352" s="101"/>
      <c r="F352" s="100"/>
    </row>
    <row r="353" ht="12.75" customHeight="1">
      <c r="A353" s="100"/>
      <c r="B353" s="93"/>
      <c r="C353" s="41"/>
      <c r="D353" s="100"/>
      <c r="E353" s="101"/>
      <c r="F353" s="100"/>
    </row>
    <row r="354" ht="12.75" customHeight="1">
      <c r="A354" s="100"/>
      <c r="B354" s="93"/>
      <c r="C354" s="41"/>
      <c r="D354" s="100"/>
      <c r="E354" s="101"/>
      <c r="F354" s="100"/>
    </row>
    <row r="355" ht="12.75" customHeight="1">
      <c r="A355" s="100"/>
      <c r="B355" s="93"/>
      <c r="C355" s="41"/>
      <c r="D355" s="100"/>
      <c r="E355" s="101"/>
      <c r="F355" s="100"/>
    </row>
    <row r="356" ht="12.75" customHeight="1">
      <c r="A356" s="100"/>
      <c r="B356" s="93"/>
      <c r="C356" s="41"/>
      <c r="D356" s="100"/>
      <c r="E356" s="101"/>
      <c r="F356" s="100"/>
    </row>
    <row r="357" ht="12.75" customHeight="1">
      <c r="A357" s="100"/>
      <c r="B357" s="93"/>
      <c r="C357" s="41"/>
      <c r="D357" s="100"/>
      <c r="E357" s="101"/>
      <c r="F357" s="100"/>
    </row>
    <row r="358" ht="12.75" customHeight="1">
      <c r="A358" s="100"/>
      <c r="B358" s="93"/>
      <c r="C358" s="41"/>
      <c r="D358" s="100"/>
      <c r="E358" s="101"/>
      <c r="F358" s="100"/>
    </row>
    <row r="359" ht="12.75" customHeight="1">
      <c r="A359" s="100"/>
      <c r="B359" s="93"/>
      <c r="C359" s="41"/>
      <c r="D359" s="100"/>
      <c r="E359" s="101"/>
      <c r="F359" s="100"/>
    </row>
    <row r="360" ht="12.75" customHeight="1">
      <c r="A360" s="100"/>
      <c r="B360" s="93"/>
      <c r="C360" s="41"/>
      <c r="D360" s="100"/>
      <c r="E360" s="101"/>
      <c r="F360" s="100"/>
    </row>
    <row r="361" ht="12.75" customHeight="1">
      <c r="A361" s="100"/>
      <c r="B361" s="93"/>
      <c r="C361" s="41"/>
      <c r="D361" s="100"/>
      <c r="E361" s="101"/>
      <c r="F361" s="100"/>
    </row>
    <row r="362" ht="12.75" customHeight="1">
      <c r="A362" s="100"/>
      <c r="B362" s="93"/>
      <c r="C362" s="41"/>
      <c r="D362" s="100"/>
      <c r="E362" s="101"/>
      <c r="F362" s="100"/>
    </row>
    <row r="363" ht="12.75" customHeight="1">
      <c r="A363" s="100"/>
      <c r="B363" s="93"/>
      <c r="C363" s="41"/>
      <c r="D363" s="100"/>
      <c r="E363" s="101"/>
      <c r="F363" s="100"/>
    </row>
    <row r="364" ht="12.75" customHeight="1">
      <c r="A364" s="100"/>
      <c r="B364" s="93"/>
      <c r="C364" s="41"/>
      <c r="D364" s="100"/>
      <c r="E364" s="101"/>
      <c r="F364" s="100"/>
    </row>
    <row r="365" ht="12.75" customHeight="1">
      <c r="A365" s="100"/>
      <c r="B365" s="93"/>
      <c r="C365" s="41"/>
      <c r="D365" s="100"/>
      <c r="E365" s="101"/>
      <c r="F365" s="100"/>
    </row>
    <row r="366" ht="12.75" customHeight="1">
      <c r="A366" s="100"/>
      <c r="B366" s="93"/>
      <c r="C366" s="41"/>
      <c r="D366" s="100"/>
      <c r="E366" s="101"/>
      <c r="F366" s="100"/>
    </row>
    <row r="367" ht="12.75" customHeight="1">
      <c r="A367" s="100"/>
      <c r="B367" s="93"/>
      <c r="C367" s="41"/>
      <c r="D367" s="100"/>
      <c r="E367" s="101"/>
      <c r="F367" s="100"/>
    </row>
    <row r="368" ht="12.75" customHeight="1">
      <c r="A368" s="100"/>
      <c r="B368" s="93"/>
      <c r="C368" s="41"/>
      <c r="D368" s="100"/>
      <c r="E368" s="101"/>
      <c r="F368" s="100"/>
    </row>
    <row r="369" ht="12.75" customHeight="1">
      <c r="A369" s="100"/>
      <c r="B369" s="93"/>
      <c r="C369" s="41"/>
      <c r="D369" s="100"/>
      <c r="E369" s="101"/>
      <c r="F369" s="100"/>
    </row>
    <row r="370" ht="12.75" customHeight="1">
      <c r="A370" s="100"/>
      <c r="B370" s="93"/>
      <c r="C370" s="41"/>
      <c r="D370" s="100"/>
      <c r="E370" s="101"/>
      <c r="F370" s="100"/>
    </row>
    <row r="371" ht="12.75" customHeight="1">
      <c r="A371" s="100"/>
      <c r="B371" s="93"/>
      <c r="C371" s="41"/>
      <c r="D371" s="100"/>
      <c r="E371" s="101"/>
      <c r="F371" s="100"/>
    </row>
    <row r="372" ht="12.75" customHeight="1">
      <c r="A372" s="100"/>
      <c r="B372" s="93"/>
      <c r="C372" s="41"/>
      <c r="D372" s="100"/>
      <c r="E372" s="101"/>
      <c r="F372" s="100"/>
    </row>
    <row r="373" ht="12.75" customHeight="1">
      <c r="A373" s="100"/>
      <c r="B373" s="93"/>
      <c r="C373" s="41"/>
      <c r="D373" s="100"/>
      <c r="E373" s="101"/>
      <c r="F373" s="100"/>
    </row>
    <row r="374" ht="12.75" customHeight="1">
      <c r="A374" s="100"/>
      <c r="B374" s="93"/>
      <c r="C374" s="41"/>
      <c r="D374" s="100"/>
      <c r="E374" s="101"/>
      <c r="F374" s="100"/>
    </row>
    <row r="375" ht="12.75" customHeight="1">
      <c r="A375" s="100"/>
      <c r="B375" s="93"/>
      <c r="C375" s="41"/>
      <c r="D375" s="100"/>
      <c r="E375" s="101"/>
      <c r="F375" s="100"/>
    </row>
    <row r="376" ht="12.75" customHeight="1">
      <c r="A376" s="100"/>
      <c r="B376" s="93"/>
      <c r="C376" s="41"/>
      <c r="D376" s="100"/>
      <c r="E376" s="101"/>
      <c r="F376" s="100"/>
    </row>
    <row r="377" ht="12.75" customHeight="1">
      <c r="A377" s="100"/>
      <c r="B377" s="93"/>
      <c r="C377" s="41"/>
      <c r="D377" s="100"/>
      <c r="E377" s="101"/>
      <c r="F377" s="100"/>
    </row>
    <row r="378" ht="12.75" customHeight="1">
      <c r="A378" s="100"/>
      <c r="B378" s="93"/>
      <c r="C378" s="41"/>
      <c r="D378" s="100"/>
      <c r="E378" s="101"/>
      <c r="F378" s="100"/>
    </row>
    <row r="379" ht="12.75" customHeight="1">
      <c r="A379" s="100"/>
      <c r="B379" s="93"/>
      <c r="C379" s="41"/>
      <c r="D379" s="100"/>
      <c r="E379" s="101"/>
      <c r="F379" s="100"/>
    </row>
    <row r="380" ht="12.75" customHeight="1">
      <c r="A380" s="100"/>
      <c r="B380" s="93"/>
      <c r="C380" s="41"/>
      <c r="D380" s="100"/>
      <c r="E380" s="101"/>
      <c r="F380" s="100"/>
    </row>
    <row r="381" ht="12.75" customHeight="1">
      <c r="A381" s="100"/>
      <c r="B381" s="93"/>
      <c r="C381" s="41"/>
      <c r="D381" s="100"/>
      <c r="E381" s="101"/>
      <c r="F381" s="100"/>
    </row>
    <row r="382" ht="12.75" customHeight="1">
      <c r="A382" s="100"/>
      <c r="B382" s="93"/>
      <c r="C382" s="41"/>
      <c r="D382" s="100"/>
      <c r="E382" s="101"/>
      <c r="F382" s="100"/>
    </row>
    <row r="383" ht="12.75" customHeight="1">
      <c r="A383" s="100"/>
      <c r="B383" s="93"/>
      <c r="C383" s="41"/>
      <c r="D383" s="100"/>
      <c r="E383" s="101"/>
      <c r="F383" s="100"/>
    </row>
    <row r="384" ht="12.75" customHeight="1">
      <c r="A384" s="100"/>
      <c r="B384" s="93"/>
      <c r="C384" s="41"/>
      <c r="D384" s="100"/>
      <c r="E384" s="101"/>
      <c r="F384" s="100"/>
    </row>
    <row r="385" ht="12.75" customHeight="1">
      <c r="A385" s="100"/>
      <c r="B385" s="93"/>
      <c r="C385" s="41"/>
      <c r="D385" s="100"/>
      <c r="E385" s="101"/>
      <c r="F385" s="100"/>
    </row>
    <row r="386" ht="12.75" customHeight="1">
      <c r="A386" s="100"/>
      <c r="B386" s="93"/>
      <c r="C386" s="41"/>
      <c r="D386" s="100"/>
      <c r="E386" s="101"/>
      <c r="F386" s="100"/>
    </row>
    <row r="387" ht="12.75" customHeight="1">
      <c r="A387" s="100"/>
      <c r="B387" s="93"/>
      <c r="C387" s="41"/>
      <c r="D387" s="100"/>
      <c r="E387" s="101"/>
      <c r="F387" s="100"/>
    </row>
    <row r="388" ht="12.75" customHeight="1">
      <c r="A388" s="100"/>
      <c r="B388" s="93"/>
      <c r="C388" s="41"/>
      <c r="D388" s="100"/>
      <c r="E388" s="101"/>
      <c r="F388" s="100"/>
    </row>
    <row r="389" ht="12.75" customHeight="1">
      <c r="A389" s="100"/>
      <c r="B389" s="93"/>
      <c r="C389" s="41"/>
      <c r="D389" s="100"/>
      <c r="E389" s="101"/>
      <c r="F389" s="100"/>
    </row>
    <row r="390" ht="12.75" customHeight="1">
      <c r="A390" s="100"/>
      <c r="B390" s="93"/>
      <c r="C390" s="41"/>
      <c r="D390" s="100"/>
      <c r="E390" s="101"/>
      <c r="F390" s="100"/>
    </row>
    <row r="391" ht="12.75" customHeight="1">
      <c r="A391" s="100"/>
      <c r="B391" s="93"/>
      <c r="C391" s="41"/>
      <c r="D391" s="100"/>
      <c r="E391" s="101"/>
      <c r="F391" s="100"/>
    </row>
    <row r="392" ht="12.75" customHeight="1">
      <c r="A392" s="100"/>
      <c r="B392" s="93"/>
      <c r="C392" s="41"/>
      <c r="D392" s="100"/>
      <c r="E392" s="101"/>
      <c r="F392" s="100"/>
    </row>
    <row r="393" ht="12.75" customHeight="1">
      <c r="A393" s="100"/>
      <c r="B393" s="93"/>
      <c r="C393" s="41"/>
      <c r="D393" s="100"/>
      <c r="E393" s="101"/>
      <c r="F393" s="100"/>
    </row>
    <row r="394" ht="12.75" customHeight="1">
      <c r="A394" s="100"/>
      <c r="B394" s="93"/>
      <c r="C394" s="41"/>
      <c r="D394" s="100"/>
      <c r="E394" s="101"/>
      <c r="F394" s="100"/>
    </row>
    <row r="395" ht="12.75" customHeight="1">
      <c r="A395" s="100"/>
      <c r="B395" s="93"/>
      <c r="C395" s="41"/>
      <c r="D395" s="100"/>
      <c r="E395" s="101"/>
      <c r="F395" s="100"/>
    </row>
    <row r="396" ht="12.75" customHeight="1">
      <c r="A396" s="100"/>
      <c r="B396" s="93"/>
      <c r="C396" s="41"/>
      <c r="D396" s="100"/>
      <c r="E396" s="101"/>
      <c r="F396" s="100"/>
    </row>
    <row r="397" ht="12.75" customHeight="1">
      <c r="A397" s="100"/>
      <c r="B397" s="93"/>
      <c r="C397" s="41"/>
      <c r="D397" s="100"/>
      <c r="E397" s="101"/>
      <c r="F397" s="100"/>
    </row>
    <row r="398" ht="12.75" customHeight="1">
      <c r="A398" s="100"/>
      <c r="B398" s="93"/>
      <c r="C398" s="41"/>
      <c r="D398" s="100"/>
      <c r="E398" s="101"/>
      <c r="F398" s="100"/>
    </row>
    <row r="399" ht="12.75" customHeight="1">
      <c r="A399" s="100"/>
      <c r="B399" s="93"/>
      <c r="C399" s="41"/>
      <c r="D399" s="100"/>
      <c r="E399" s="101"/>
      <c r="F399" s="100"/>
    </row>
    <row r="400" ht="12.75" customHeight="1">
      <c r="A400" s="100"/>
      <c r="B400" s="93"/>
      <c r="C400" s="41"/>
      <c r="D400" s="100"/>
      <c r="E400" s="101"/>
      <c r="F400" s="100"/>
    </row>
    <row r="401" ht="12.75" customHeight="1">
      <c r="A401" s="100"/>
      <c r="B401" s="93"/>
      <c r="C401" s="41"/>
      <c r="D401" s="100"/>
      <c r="E401" s="101"/>
      <c r="F401" s="100"/>
    </row>
    <row r="402" ht="12.75" customHeight="1">
      <c r="A402" s="100"/>
      <c r="B402" s="93"/>
      <c r="C402" s="41"/>
      <c r="D402" s="100"/>
      <c r="E402" s="101"/>
      <c r="F402" s="100"/>
    </row>
    <row r="403" ht="12.75" customHeight="1">
      <c r="A403" s="100"/>
      <c r="B403" s="93"/>
      <c r="C403" s="41"/>
      <c r="D403" s="100"/>
      <c r="E403" s="101"/>
      <c r="F403" s="100"/>
    </row>
    <row r="404" ht="12.75" customHeight="1">
      <c r="A404" s="100"/>
      <c r="B404" s="93"/>
      <c r="C404" s="41"/>
      <c r="D404" s="100"/>
      <c r="E404" s="101"/>
      <c r="F404" s="100"/>
    </row>
    <row r="405" ht="12.75" customHeight="1">
      <c r="A405" s="100"/>
      <c r="B405" s="93"/>
      <c r="C405" s="41"/>
      <c r="D405" s="100"/>
      <c r="E405" s="101"/>
      <c r="F405" s="100"/>
    </row>
    <row r="406" ht="12.75" customHeight="1">
      <c r="A406" s="100"/>
      <c r="B406" s="93"/>
      <c r="C406" s="41"/>
      <c r="D406" s="100"/>
      <c r="E406" s="101"/>
      <c r="F406" s="100"/>
    </row>
    <row r="407" ht="12.75" customHeight="1">
      <c r="A407" s="100"/>
      <c r="B407" s="93"/>
      <c r="C407" s="41"/>
      <c r="D407" s="100"/>
      <c r="E407" s="101"/>
      <c r="F407" s="100"/>
    </row>
    <row r="408" ht="12.75" customHeight="1">
      <c r="A408" s="100"/>
      <c r="B408" s="93"/>
      <c r="C408" s="41"/>
      <c r="D408" s="100"/>
      <c r="E408" s="101"/>
      <c r="F408" s="100"/>
    </row>
    <row r="409" ht="12.75" customHeight="1">
      <c r="A409" s="100"/>
      <c r="B409" s="93"/>
      <c r="C409" s="41"/>
      <c r="D409" s="100"/>
      <c r="E409" s="101"/>
      <c r="F409" s="100"/>
    </row>
    <row r="410" ht="12.75" customHeight="1">
      <c r="A410" s="100"/>
      <c r="B410" s="93"/>
      <c r="C410" s="41"/>
      <c r="D410" s="100"/>
      <c r="E410" s="101"/>
      <c r="F410" s="100"/>
    </row>
    <row r="411" ht="12.75" customHeight="1">
      <c r="A411" s="100"/>
      <c r="B411" s="93"/>
      <c r="C411" s="41"/>
      <c r="D411" s="100"/>
      <c r="E411" s="101"/>
      <c r="F411" s="100"/>
    </row>
    <row r="412" ht="12.75" customHeight="1">
      <c r="A412" s="100"/>
      <c r="B412" s="93"/>
      <c r="C412" s="41"/>
      <c r="D412" s="100"/>
      <c r="E412" s="101"/>
      <c r="F412" s="100"/>
    </row>
    <row r="413" ht="12.75" customHeight="1">
      <c r="A413" s="100"/>
      <c r="B413" s="93"/>
      <c r="C413" s="41"/>
      <c r="D413" s="100"/>
      <c r="E413" s="101"/>
      <c r="F413" s="100"/>
    </row>
    <row r="414" ht="12.75" customHeight="1">
      <c r="A414" s="100"/>
      <c r="B414" s="93"/>
      <c r="C414" s="41"/>
      <c r="D414" s="100"/>
      <c r="E414" s="101"/>
      <c r="F414" s="100"/>
    </row>
    <row r="415" ht="12.75" customHeight="1">
      <c r="A415" s="100"/>
      <c r="B415" s="93"/>
      <c r="C415" s="41"/>
      <c r="D415" s="100"/>
      <c r="E415" s="101"/>
      <c r="F415" s="100"/>
    </row>
    <row r="416" ht="12.75" customHeight="1">
      <c r="A416" s="100"/>
      <c r="B416" s="93"/>
      <c r="C416" s="41"/>
      <c r="D416" s="100"/>
      <c r="E416" s="101"/>
      <c r="F416" s="100"/>
    </row>
    <row r="417" ht="12.75" customHeight="1">
      <c r="A417" s="100"/>
      <c r="B417" s="93"/>
      <c r="C417" s="41"/>
      <c r="D417" s="100"/>
      <c r="E417" s="101"/>
      <c r="F417" s="100"/>
    </row>
    <row r="418" ht="12.75" customHeight="1">
      <c r="A418" s="100"/>
      <c r="B418" s="93"/>
      <c r="C418" s="41"/>
      <c r="D418" s="100"/>
      <c r="E418" s="101"/>
      <c r="F418" s="100"/>
    </row>
    <row r="419" ht="12.75" customHeight="1">
      <c r="A419" s="100"/>
      <c r="B419" s="93"/>
      <c r="C419" s="41"/>
      <c r="D419" s="100"/>
      <c r="E419" s="101"/>
      <c r="F419" s="100"/>
    </row>
    <row r="420" ht="12.75" customHeight="1">
      <c r="A420" s="100"/>
      <c r="B420" s="93"/>
      <c r="C420" s="41"/>
      <c r="D420" s="100"/>
      <c r="E420" s="101"/>
      <c r="F420" s="100"/>
    </row>
    <row r="421" ht="12.75" customHeight="1">
      <c r="A421" s="100"/>
      <c r="B421" s="93"/>
      <c r="C421" s="41"/>
      <c r="D421" s="100"/>
      <c r="E421" s="101"/>
      <c r="F421" s="100"/>
    </row>
    <row r="422" ht="12.75" customHeight="1">
      <c r="A422" s="100"/>
      <c r="B422" s="93"/>
      <c r="C422" s="41"/>
      <c r="D422" s="100"/>
      <c r="E422" s="101"/>
      <c r="F422" s="100"/>
    </row>
    <row r="423" ht="12.75" customHeight="1">
      <c r="A423" s="100"/>
      <c r="B423" s="93"/>
      <c r="C423" s="41"/>
      <c r="D423" s="100"/>
      <c r="E423" s="101"/>
      <c r="F423" s="100"/>
    </row>
    <row r="424" ht="12.75" customHeight="1">
      <c r="A424" s="100"/>
      <c r="B424" s="93"/>
      <c r="C424" s="41"/>
      <c r="D424" s="100"/>
      <c r="E424" s="101"/>
      <c r="F424" s="100"/>
    </row>
    <row r="425" ht="12.75" customHeight="1">
      <c r="A425" s="100"/>
      <c r="B425" s="93"/>
      <c r="C425" s="41"/>
      <c r="D425" s="100"/>
      <c r="E425" s="101"/>
      <c r="F425" s="100"/>
    </row>
    <row r="426" ht="12.75" customHeight="1">
      <c r="A426" s="100"/>
      <c r="B426" s="93"/>
      <c r="C426" s="41"/>
      <c r="D426" s="100"/>
      <c r="E426" s="101"/>
      <c r="F426" s="100"/>
    </row>
    <row r="427" ht="12.75" customHeight="1">
      <c r="A427" s="100"/>
      <c r="B427" s="93"/>
      <c r="C427" s="41"/>
      <c r="D427" s="100"/>
      <c r="E427" s="101"/>
      <c r="F427" s="100"/>
    </row>
    <row r="428" ht="12.75" customHeight="1">
      <c r="A428" s="100"/>
      <c r="B428" s="93"/>
      <c r="C428" s="41"/>
      <c r="D428" s="100"/>
      <c r="E428" s="101"/>
      <c r="F428" s="100"/>
    </row>
    <row r="429" ht="12.75" customHeight="1">
      <c r="A429" s="100"/>
      <c r="B429" s="93"/>
      <c r="C429" s="41"/>
      <c r="D429" s="100"/>
      <c r="E429" s="101"/>
      <c r="F429" s="100"/>
    </row>
    <row r="430" ht="12.75" customHeight="1">
      <c r="A430" s="100"/>
      <c r="B430" s="93"/>
      <c r="C430" s="41"/>
      <c r="D430" s="100"/>
      <c r="E430" s="101"/>
      <c r="F430" s="100"/>
    </row>
    <row r="431" ht="12.75" customHeight="1">
      <c r="A431" s="100"/>
      <c r="B431" s="93"/>
      <c r="C431" s="41"/>
      <c r="D431" s="100"/>
      <c r="E431" s="101"/>
      <c r="F431" s="100"/>
    </row>
    <row r="432" ht="12.75" customHeight="1">
      <c r="A432" s="100"/>
      <c r="B432" s="93"/>
      <c r="C432" s="41"/>
      <c r="D432" s="100"/>
      <c r="E432" s="101"/>
      <c r="F432" s="100"/>
    </row>
    <row r="433" ht="12.75" customHeight="1">
      <c r="A433" s="100"/>
      <c r="B433" s="93"/>
      <c r="C433" s="41"/>
      <c r="D433" s="100"/>
      <c r="E433" s="101"/>
      <c r="F433" s="100"/>
    </row>
    <row r="434" ht="12.75" customHeight="1">
      <c r="A434" s="100"/>
      <c r="B434" s="93"/>
      <c r="C434" s="41"/>
      <c r="D434" s="100"/>
      <c r="E434" s="101"/>
      <c r="F434" s="100"/>
    </row>
    <row r="435" ht="12.75" customHeight="1">
      <c r="A435" s="100"/>
      <c r="B435" s="93"/>
      <c r="C435" s="41"/>
      <c r="D435" s="100"/>
      <c r="E435" s="101"/>
      <c r="F435" s="100"/>
    </row>
    <row r="436" ht="12.75" customHeight="1">
      <c r="A436" s="100"/>
      <c r="B436" s="93"/>
      <c r="C436" s="41"/>
      <c r="D436" s="100"/>
      <c r="E436" s="101"/>
      <c r="F436" s="100"/>
    </row>
    <row r="437" ht="12.75" customHeight="1">
      <c r="A437" s="100"/>
      <c r="B437" s="93"/>
      <c r="C437" s="41"/>
      <c r="D437" s="100"/>
      <c r="E437" s="101"/>
      <c r="F437" s="100"/>
    </row>
    <row r="438" ht="12.75" customHeight="1">
      <c r="A438" s="100"/>
      <c r="B438" s="93"/>
      <c r="C438" s="41"/>
      <c r="D438" s="100"/>
      <c r="E438" s="101"/>
      <c r="F438" s="100"/>
    </row>
    <row r="439" ht="12.75" customHeight="1">
      <c r="A439" s="100"/>
      <c r="B439" s="93"/>
      <c r="C439" s="41"/>
      <c r="D439" s="100"/>
      <c r="E439" s="101"/>
      <c r="F439" s="100"/>
    </row>
    <row r="440" ht="12.75" customHeight="1">
      <c r="A440" s="100"/>
      <c r="B440" s="93"/>
      <c r="C440" s="41"/>
      <c r="D440" s="100"/>
      <c r="E440" s="101"/>
      <c r="F440" s="100"/>
    </row>
    <row r="441" ht="12.75" customHeight="1">
      <c r="A441" s="100"/>
      <c r="B441" s="93"/>
      <c r="C441" s="41"/>
      <c r="D441" s="100"/>
      <c r="E441" s="101"/>
      <c r="F441" s="100"/>
    </row>
    <row r="442" ht="12.75" customHeight="1">
      <c r="A442" s="100"/>
      <c r="B442" s="93"/>
      <c r="C442" s="41"/>
      <c r="D442" s="100"/>
      <c r="E442" s="101"/>
      <c r="F442" s="100"/>
    </row>
    <row r="443" ht="12.75" customHeight="1">
      <c r="A443" s="100"/>
      <c r="B443" s="93"/>
      <c r="C443" s="41"/>
      <c r="D443" s="100"/>
      <c r="E443" s="101"/>
      <c r="F443" s="100"/>
    </row>
    <row r="444" ht="12.75" customHeight="1">
      <c r="A444" s="100"/>
      <c r="B444" s="93"/>
      <c r="C444" s="41"/>
      <c r="D444" s="100"/>
      <c r="E444" s="101"/>
      <c r="F444" s="100"/>
    </row>
    <row r="445" ht="12.75" customHeight="1">
      <c r="A445" s="100"/>
      <c r="B445" s="93"/>
      <c r="C445" s="41"/>
      <c r="D445" s="100"/>
      <c r="E445" s="101"/>
      <c r="F445" s="100"/>
    </row>
    <row r="446" ht="12.75" customHeight="1">
      <c r="A446" s="100"/>
      <c r="B446" s="93"/>
      <c r="C446" s="41"/>
      <c r="D446" s="100"/>
      <c r="E446" s="101"/>
      <c r="F446" s="100"/>
    </row>
    <row r="447" ht="12.75" customHeight="1">
      <c r="A447" s="100"/>
      <c r="B447" s="93"/>
      <c r="C447" s="41"/>
      <c r="D447" s="100"/>
      <c r="E447" s="101"/>
      <c r="F447" s="100"/>
    </row>
    <row r="448" ht="12.75" customHeight="1">
      <c r="A448" s="100"/>
      <c r="B448" s="93"/>
      <c r="C448" s="41"/>
      <c r="D448" s="100"/>
      <c r="E448" s="101"/>
      <c r="F448" s="100"/>
    </row>
    <row r="449" ht="12.75" customHeight="1">
      <c r="A449" s="100"/>
      <c r="B449" s="93"/>
      <c r="C449" s="41"/>
      <c r="D449" s="100"/>
      <c r="E449" s="101"/>
      <c r="F449" s="100"/>
    </row>
    <row r="450" ht="12.75" customHeight="1">
      <c r="A450" s="100"/>
      <c r="B450" s="93"/>
      <c r="C450" s="41"/>
      <c r="D450" s="100"/>
      <c r="E450" s="101"/>
      <c r="F450" s="100"/>
    </row>
    <row r="451" ht="12.75" customHeight="1">
      <c r="A451" s="100"/>
      <c r="B451" s="93"/>
      <c r="C451" s="41"/>
      <c r="D451" s="100"/>
      <c r="E451" s="101"/>
      <c r="F451" s="100"/>
    </row>
    <row r="452" ht="12.75" customHeight="1">
      <c r="A452" s="100"/>
      <c r="B452" s="93"/>
      <c r="C452" s="41"/>
      <c r="D452" s="100"/>
      <c r="E452" s="101"/>
      <c r="F452" s="100"/>
    </row>
    <row r="453" ht="12.75" customHeight="1">
      <c r="A453" s="100"/>
      <c r="B453" s="93"/>
      <c r="C453" s="41"/>
      <c r="D453" s="100"/>
      <c r="E453" s="101"/>
      <c r="F453" s="100"/>
    </row>
    <row r="454" ht="12.75" customHeight="1">
      <c r="A454" s="100"/>
      <c r="B454" s="93"/>
      <c r="C454" s="41"/>
      <c r="D454" s="100"/>
      <c r="E454" s="101"/>
      <c r="F454" s="100"/>
    </row>
    <row r="455" ht="12.75" customHeight="1">
      <c r="A455" s="100"/>
      <c r="B455" s="93"/>
      <c r="C455" s="41"/>
      <c r="D455" s="100"/>
      <c r="E455" s="101"/>
      <c r="F455" s="100"/>
    </row>
    <row r="456" ht="12.75" customHeight="1">
      <c r="A456" s="100"/>
      <c r="B456" s="93"/>
      <c r="C456" s="41"/>
      <c r="D456" s="100"/>
      <c r="E456" s="101"/>
      <c r="F456" s="100"/>
    </row>
    <row r="457" ht="12.75" customHeight="1">
      <c r="A457" s="100"/>
      <c r="B457" s="93"/>
      <c r="C457" s="41"/>
      <c r="D457" s="100"/>
      <c r="E457" s="101"/>
      <c r="F457" s="100"/>
    </row>
    <row r="458" ht="12.75" customHeight="1">
      <c r="A458" s="100"/>
      <c r="B458" s="93"/>
      <c r="C458" s="41"/>
      <c r="D458" s="100"/>
      <c r="E458" s="101"/>
      <c r="F458" s="100"/>
    </row>
    <row r="459" ht="12.75" customHeight="1">
      <c r="A459" s="100"/>
      <c r="B459" s="93"/>
      <c r="C459" s="41"/>
      <c r="D459" s="100"/>
      <c r="E459" s="101"/>
      <c r="F459" s="100"/>
    </row>
    <row r="460" ht="12.75" customHeight="1">
      <c r="A460" s="100"/>
      <c r="B460" s="93"/>
      <c r="C460" s="41"/>
      <c r="D460" s="100"/>
      <c r="E460" s="101"/>
      <c r="F460" s="100"/>
    </row>
    <row r="461" ht="12.75" customHeight="1">
      <c r="A461" s="100"/>
      <c r="B461" s="93"/>
      <c r="C461" s="41"/>
      <c r="D461" s="100"/>
      <c r="E461" s="101"/>
      <c r="F461" s="100"/>
    </row>
    <row r="462" ht="12.75" customHeight="1">
      <c r="A462" s="100"/>
      <c r="B462" s="93"/>
      <c r="C462" s="41"/>
      <c r="D462" s="100"/>
      <c r="E462" s="101"/>
      <c r="F462" s="100"/>
    </row>
    <row r="463" ht="12.75" customHeight="1">
      <c r="A463" s="100"/>
      <c r="B463" s="93"/>
      <c r="C463" s="41"/>
      <c r="D463" s="100"/>
      <c r="E463" s="101"/>
      <c r="F463" s="100"/>
    </row>
    <row r="464" ht="12.75" customHeight="1">
      <c r="A464" s="100"/>
      <c r="B464" s="93"/>
      <c r="C464" s="41"/>
      <c r="D464" s="100"/>
      <c r="E464" s="101"/>
      <c r="F464" s="100"/>
    </row>
    <row r="465" ht="12.75" customHeight="1">
      <c r="A465" s="100"/>
      <c r="B465" s="93"/>
      <c r="C465" s="41"/>
      <c r="D465" s="100"/>
      <c r="E465" s="101"/>
      <c r="F465" s="100"/>
    </row>
    <row r="466" ht="12.75" customHeight="1">
      <c r="A466" s="100"/>
      <c r="B466" s="93"/>
      <c r="C466" s="41"/>
      <c r="D466" s="100"/>
      <c r="E466" s="101"/>
      <c r="F466" s="100"/>
    </row>
    <row r="467" ht="12.75" customHeight="1">
      <c r="A467" s="100"/>
      <c r="B467" s="93"/>
      <c r="C467" s="41"/>
      <c r="D467" s="100"/>
      <c r="E467" s="101"/>
      <c r="F467" s="100"/>
    </row>
    <row r="468" ht="12.75" customHeight="1">
      <c r="A468" s="100"/>
      <c r="B468" s="93"/>
      <c r="C468" s="41"/>
      <c r="D468" s="100"/>
      <c r="E468" s="101"/>
      <c r="F468" s="100"/>
    </row>
    <row r="469" ht="12.75" customHeight="1">
      <c r="A469" s="100"/>
      <c r="B469" s="93"/>
      <c r="C469" s="41"/>
      <c r="D469" s="100"/>
      <c r="E469" s="101"/>
      <c r="F469" s="100"/>
    </row>
    <row r="470" ht="12.75" customHeight="1">
      <c r="A470" s="100"/>
      <c r="B470" s="93"/>
      <c r="C470" s="41"/>
      <c r="D470" s="100"/>
      <c r="E470" s="101"/>
      <c r="F470" s="100"/>
    </row>
    <row r="471" ht="12.75" customHeight="1">
      <c r="A471" s="100"/>
      <c r="B471" s="93"/>
      <c r="C471" s="41"/>
      <c r="D471" s="100"/>
      <c r="E471" s="101"/>
      <c r="F471" s="100"/>
    </row>
    <row r="472" ht="12.75" customHeight="1">
      <c r="A472" s="100"/>
      <c r="B472" s="93"/>
      <c r="C472" s="41"/>
      <c r="D472" s="100"/>
      <c r="E472" s="101"/>
      <c r="F472" s="100"/>
    </row>
    <row r="473" ht="12.75" customHeight="1">
      <c r="A473" s="100"/>
      <c r="B473" s="93"/>
      <c r="C473" s="41"/>
      <c r="D473" s="100"/>
      <c r="E473" s="101"/>
      <c r="F473" s="100"/>
    </row>
    <row r="474" ht="12.75" customHeight="1">
      <c r="A474" s="100"/>
      <c r="B474" s="93"/>
      <c r="C474" s="41"/>
      <c r="D474" s="100"/>
      <c r="E474" s="101"/>
      <c r="F474" s="100"/>
    </row>
    <row r="475" ht="12.75" customHeight="1">
      <c r="A475" s="100"/>
      <c r="B475" s="93"/>
      <c r="C475" s="41"/>
      <c r="D475" s="100"/>
      <c r="E475" s="101"/>
      <c r="F475" s="100"/>
    </row>
    <row r="476" ht="12.75" customHeight="1">
      <c r="A476" s="100"/>
      <c r="B476" s="93"/>
      <c r="C476" s="41"/>
      <c r="D476" s="100"/>
      <c r="E476" s="101"/>
      <c r="F476" s="100"/>
    </row>
    <row r="477" ht="12.75" customHeight="1">
      <c r="A477" s="100"/>
      <c r="B477" s="93"/>
      <c r="C477" s="41"/>
      <c r="D477" s="100"/>
      <c r="E477" s="101"/>
      <c r="F477" s="100"/>
    </row>
    <row r="478" ht="12.75" customHeight="1">
      <c r="A478" s="100"/>
      <c r="B478" s="93"/>
      <c r="C478" s="41"/>
      <c r="D478" s="100"/>
      <c r="E478" s="101"/>
      <c r="F478" s="100"/>
    </row>
    <row r="479" ht="12.75" customHeight="1">
      <c r="A479" s="100"/>
      <c r="B479" s="93"/>
      <c r="C479" s="41"/>
      <c r="D479" s="100"/>
      <c r="E479" s="101"/>
      <c r="F479" s="100"/>
    </row>
    <row r="480" ht="12.75" customHeight="1">
      <c r="A480" s="100"/>
      <c r="B480" s="93"/>
      <c r="C480" s="41"/>
      <c r="D480" s="100"/>
      <c r="E480" s="101"/>
      <c r="F480" s="100"/>
    </row>
    <row r="481" ht="12.75" customHeight="1">
      <c r="A481" s="100"/>
      <c r="B481" s="93"/>
      <c r="C481" s="41"/>
      <c r="D481" s="100"/>
      <c r="E481" s="101"/>
      <c r="F481" s="100"/>
    </row>
    <row r="482" ht="12.75" customHeight="1">
      <c r="A482" s="100"/>
      <c r="B482" s="93"/>
      <c r="C482" s="41"/>
      <c r="D482" s="100"/>
      <c r="E482" s="101"/>
      <c r="F482" s="100"/>
    </row>
    <row r="483" ht="12.75" customHeight="1">
      <c r="A483" s="100"/>
      <c r="B483" s="93"/>
      <c r="C483" s="41"/>
      <c r="D483" s="100"/>
      <c r="E483" s="101"/>
      <c r="F483" s="100"/>
    </row>
    <row r="484" ht="12.75" customHeight="1">
      <c r="A484" s="100"/>
      <c r="B484" s="93"/>
      <c r="C484" s="41"/>
      <c r="D484" s="100"/>
      <c r="E484" s="101"/>
      <c r="F484" s="100"/>
    </row>
    <row r="485" ht="12.75" customHeight="1">
      <c r="A485" s="100"/>
      <c r="B485" s="93"/>
      <c r="C485" s="41"/>
      <c r="D485" s="100"/>
      <c r="E485" s="101"/>
      <c r="F485" s="100"/>
    </row>
    <row r="486" ht="12.75" customHeight="1">
      <c r="A486" s="100"/>
      <c r="B486" s="93"/>
      <c r="C486" s="41"/>
      <c r="D486" s="100"/>
      <c r="E486" s="101"/>
      <c r="F486" s="100"/>
    </row>
    <row r="487" ht="12.75" customHeight="1">
      <c r="A487" s="100"/>
      <c r="B487" s="93"/>
      <c r="C487" s="41"/>
      <c r="D487" s="100"/>
      <c r="E487" s="101"/>
      <c r="F487" s="100"/>
    </row>
    <row r="488" ht="12.75" customHeight="1">
      <c r="A488" s="100"/>
      <c r="B488" s="93"/>
      <c r="C488" s="41"/>
      <c r="D488" s="100"/>
      <c r="E488" s="101"/>
      <c r="F488" s="100"/>
    </row>
    <row r="489" ht="12.75" customHeight="1">
      <c r="A489" s="100"/>
      <c r="B489" s="93"/>
      <c r="C489" s="41"/>
      <c r="D489" s="100"/>
      <c r="E489" s="101"/>
      <c r="F489" s="100"/>
    </row>
    <row r="490" ht="12.75" customHeight="1">
      <c r="A490" s="100"/>
      <c r="B490" s="93"/>
      <c r="C490" s="41"/>
      <c r="D490" s="100"/>
      <c r="E490" s="101"/>
      <c r="F490" s="100"/>
    </row>
    <row r="491" ht="12.75" customHeight="1">
      <c r="A491" s="100"/>
      <c r="B491" s="93"/>
      <c r="C491" s="41"/>
      <c r="D491" s="100"/>
      <c r="E491" s="101"/>
      <c r="F491" s="100"/>
    </row>
    <row r="492" ht="12.75" customHeight="1">
      <c r="A492" s="100"/>
      <c r="B492" s="93"/>
      <c r="C492" s="41"/>
      <c r="D492" s="100"/>
      <c r="E492" s="101"/>
      <c r="F492" s="100"/>
    </row>
    <row r="493" ht="12.75" customHeight="1">
      <c r="A493" s="100"/>
      <c r="B493" s="93"/>
      <c r="C493" s="41"/>
      <c r="D493" s="100"/>
      <c r="E493" s="101"/>
      <c r="F493" s="100"/>
    </row>
    <row r="494" ht="12.75" customHeight="1">
      <c r="A494" s="100"/>
      <c r="B494" s="93"/>
      <c r="C494" s="41"/>
      <c r="D494" s="100"/>
      <c r="E494" s="101"/>
      <c r="F494" s="100"/>
    </row>
    <row r="495" ht="12.75" customHeight="1">
      <c r="A495" s="100"/>
      <c r="B495" s="93"/>
      <c r="C495" s="41"/>
      <c r="D495" s="100"/>
      <c r="E495" s="101"/>
      <c r="F495" s="100"/>
    </row>
    <row r="496" ht="12.75" customHeight="1">
      <c r="A496" s="100"/>
      <c r="B496" s="93"/>
      <c r="C496" s="41"/>
      <c r="D496" s="100"/>
      <c r="E496" s="101"/>
      <c r="F496" s="100"/>
    </row>
    <row r="497" ht="12.75" customHeight="1">
      <c r="A497" s="100"/>
      <c r="B497" s="93"/>
      <c r="C497" s="41"/>
      <c r="D497" s="100"/>
      <c r="E497" s="101"/>
      <c r="F497" s="100"/>
    </row>
    <row r="498" ht="12.75" customHeight="1">
      <c r="A498" s="100"/>
      <c r="B498" s="93"/>
      <c r="C498" s="41"/>
      <c r="D498" s="100"/>
      <c r="E498" s="101"/>
      <c r="F498" s="100"/>
    </row>
    <row r="499" ht="12.75" customHeight="1">
      <c r="A499" s="100"/>
      <c r="B499" s="93"/>
      <c r="C499" s="41"/>
      <c r="D499" s="100"/>
      <c r="E499" s="101"/>
      <c r="F499" s="100"/>
    </row>
    <row r="500" ht="12.75" customHeight="1">
      <c r="A500" s="100"/>
      <c r="B500" s="93"/>
      <c r="C500" s="41"/>
      <c r="D500" s="100"/>
      <c r="E500" s="101"/>
      <c r="F500" s="100"/>
    </row>
    <row r="501" ht="12.75" customHeight="1">
      <c r="A501" s="100"/>
      <c r="B501" s="93"/>
      <c r="C501" s="41"/>
      <c r="D501" s="100"/>
      <c r="E501" s="101"/>
      <c r="F501" s="100"/>
    </row>
    <row r="502" ht="12.75" customHeight="1">
      <c r="A502" s="100"/>
      <c r="B502" s="93"/>
      <c r="C502" s="41"/>
      <c r="D502" s="100"/>
      <c r="E502" s="101"/>
      <c r="F502" s="100"/>
    </row>
    <row r="503" ht="12.75" customHeight="1">
      <c r="A503" s="100"/>
      <c r="B503" s="93"/>
      <c r="C503" s="41"/>
      <c r="D503" s="100"/>
      <c r="E503" s="101"/>
      <c r="F503" s="100"/>
    </row>
    <row r="504" ht="12.75" customHeight="1">
      <c r="A504" s="100"/>
      <c r="B504" s="93"/>
      <c r="C504" s="41"/>
      <c r="D504" s="100"/>
      <c r="E504" s="101"/>
      <c r="F504" s="100"/>
    </row>
    <row r="505" ht="12.75" customHeight="1">
      <c r="A505" s="100"/>
      <c r="B505" s="93"/>
      <c r="C505" s="41"/>
      <c r="D505" s="100"/>
      <c r="E505" s="101"/>
      <c r="F505" s="100"/>
    </row>
    <row r="506" ht="12.75" customHeight="1">
      <c r="A506" s="100"/>
      <c r="B506" s="93"/>
      <c r="C506" s="41"/>
      <c r="D506" s="100"/>
      <c r="E506" s="101"/>
      <c r="F506" s="100"/>
    </row>
    <row r="507" ht="12.75" customHeight="1">
      <c r="A507" s="100"/>
      <c r="B507" s="93"/>
      <c r="C507" s="41"/>
      <c r="D507" s="100"/>
      <c r="E507" s="101"/>
      <c r="F507" s="100"/>
    </row>
    <row r="508" ht="12.75" customHeight="1">
      <c r="A508" s="100"/>
      <c r="B508" s="93"/>
      <c r="C508" s="41"/>
      <c r="D508" s="100"/>
      <c r="E508" s="101"/>
      <c r="F508" s="100"/>
    </row>
    <row r="509" ht="12.75" customHeight="1">
      <c r="A509" s="100"/>
      <c r="B509" s="93"/>
      <c r="C509" s="41"/>
      <c r="D509" s="100"/>
      <c r="E509" s="101"/>
      <c r="F509" s="100"/>
    </row>
    <row r="510" ht="12.75" customHeight="1">
      <c r="A510" s="100"/>
      <c r="B510" s="93"/>
      <c r="C510" s="41"/>
      <c r="D510" s="100"/>
      <c r="E510" s="101"/>
      <c r="F510" s="100"/>
    </row>
    <row r="511" ht="12.75" customHeight="1">
      <c r="A511" s="100"/>
      <c r="B511" s="93"/>
      <c r="C511" s="41"/>
      <c r="D511" s="100"/>
      <c r="E511" s="101"/>
      <c r="F511" s="100"/>
    </row>
    <row r="512" ht="12.75" customHeight="1">
      <c r="A512" s="100"/>
      <c r="B512" s="93"/>
      <c r="C512" s="41"/>
      <c r="D512" s="100"/>
      <c r="E512" s="101"/>
      <c r="F512" s="100"/>
    </row>
    <row r="513" ht="12.75" customHeight="1">
      <c r="A513" s="100"/>
      <c r="B513" s="93"/>
      <c r="C513" s="41"/>
      <c r="D513" s="100"/>
      <c r="E513" s="101"/>
      <c r="F513" s="100"/>
    </row>
    <row r="514" ht="12.75" customHeight="1">
      <c r="A514" s="100"/>
      <c r="B514" s="93"/>
      <c r="C514" s="41"/>
      <c r="D514" s="100"/>
      <c r="E514" s="101"/>
      <c r="F514" s="100"/>
    </row>
    <row r="515" ht="12.75" customHeight="1">
      <c r="A515" s="100"/>
      <c r="B515" s="93"/>
      <c r="C515" s="41"/>
      <c r="D515" s="100"/>
      <c r="E515" s="101"/>
      <c r="F515" s="100"/>
    </row>
    <row r="516" ht="12.75" customHeight="1">
      <c r="A516" s="100"/>
      <c r="B516" s="93"/>
      <c r="C516" s="41"/>
      <c r="D516" s="100"/>
      <c r="E516" s="101"/>
      <c r="F516" s="100"/>
    </row>
    <row r="517" ht="12.75" customHeight="1">
      <c r="A517" s="100"/>
      <c r="B517" s="93"/>
      <c r="C517" s="41"/>
      <c r="D517" s="100"/>
      <c r="E517" s="101"/>
      <c r="F517" s="100"/>
    </row>
    <row r="518" ht="12.75" customHeight="1">
      <c r="A518" s="100"/>
      <c r="B518" s="93"/>
      <c r="C518" s="41"/>
      <c r="D518" s="100"/>
      <c r="E518" s="101"/>
      <c r="F518" s="100"/>
    </row>
    <row r="519" ht="12.75" customHeight="1">
      <c r="A519" s="100"/>
      <c r="B519" s="93"/>
      <c r="C519" s="41"/>
      <c r="D519" s="100"/>
      <c r="E519" s="101"/>
      <c r="F519" s="100"/>
    </row>
    <row r="520" ht="12.75" customHeight="1">
      <c r="A520" s="100"/>
      <c r="B520" s="93"/>
      <c r="C520" s="41"/>
      <c r="D520" s="100"/>
      <c r="E520" s="101"/>
      <c r="F520" s="100"/>
    </row>
    <row r="521" ht="12.75" customHeight="1">
      <c r="A521" s="100"/>
      <c r="B521" s="93"/>
      <c r="C521" s="41"/>
      <c r="D521" s="100"/>
      <c r="E521" s="101"/>
      <c r="F521" s="100"/>
    </row>
    <row r="522" ht="12.75" customHeight="1">
      <c r="A522" s="100"/>
      <c r="B522" s="93"/>
      <c r="C522" s="41"/>
      <c r="D522" s="100"/>
      <c r="E522" s="101"/>
      <c r="F522" s="100"/>
    </row>
    <row r="523" ht="12.75" customHeight="1">
      <c r="A523" s="100"/>
      <c r="B523" s="93"/>
      <c r="C523" s="41"/>
      <c r="D523" s="100"/>
      <c r="E523" s="101"/>
      <c r="F523" s="100"/>
    </row>
    <row r="524" ht="12.75" customHeight="1">
      <c r="A524" s="100"/>
      <c r="B524" s="93"/>
      <c r="C524" s="41"/>
      <c r="D524" s="100"/>
      <c r="E524" s="101"/>
      <c r="F524" s="100"/>
    </row>
    <row r="525" ht="12.75" customHeight="1">
      <c r="A525" s="100"/>
      <c r="B525" s="93"/>
      <c r="C525" s="41"/>
      <c r="D525" s="100"/>
      <c r="E525" s="101"/>
      <c r="F525" s="100"/>
    </row>
    <row r="526" ht="12.75" customHeight="1">
      <c r="A526" s="100"/>
      <c r="B526" s="93"/>
      <c r="C526" s="41"/>
      <c r="D526" s="100"/>
      <c r="E526" s="101"/>
      <c r="F526" s="100"/>
    </row>
    <row r="527" ht="12.75" customHeight="1">
      <c r="A527" s="100"/>
      <c r="B527" s="93"/>
      <c r="C527" s="41"/>
      <c r="D527" s="100"/>
      <c r="E527" s="101"/>
      <c r="F527" s="100"/>
    </row>
    <row r="528" ht="12.75" customHeight="1">
      <c r="A528" s="100"/>
      <c r="B528" s="93"/>
      <c r="C528" s="41"/>
      <c r="D528" s="100"/>
      <c r="E528" s="101"/>
      <c r="F528" s="100"/>
    </row>
    <row r="529" ht="12.75" customHeight="1">
      <c r="A529" s="100"/>
      <c r="B529" s="93"/>
      <c r="C529" s="41"/>
      <c r="D529" s="100"/>
      <c r="E529" s="101"/>
      <c r="F529" s="100"/>
    </row>
    <row r="530" ht="12.75" customHeight="1">
      <c r="A530" s="100"/>
      <c r="B530" s="93"/>
      <c r="C530" s="41"/>
      <c r="D530" s="100"/>
      <c r="E530" s="101"/>
      <c r="F530" s="100"/>
    </row>
    <row r="531" ht="12.75" customHeight="1">
      <c r="A531" s="100"/>
      <c r="B531" s="93"/>
      <c r="C531" s="41"/>
      <c r="D531" s="100"/>
      <c r="E531" s="101"/>
      <c r="F531" s="100"/>
    </row>
    <row r="532" ht="12.75" customHeight="1">
      <c r="A532" s="100"/>
      <c r="B532" s="93"/>
      <c r="C532" s="41"/>
      <c r="D532" s="100"/>
      <c r="E532" s="101"/>
      <c r="F532" s="100"/>
    </row>
    <row r="533" ht="12.75" customHeight="1">
      <c r="A533" s="100"/>
      <c r="B533" s="93"/>
      <c r="C533" s="41"/>
      <c r="D533" s="100"/>
      <c r="E533" s="101"/>
      <c r="F533" s="100"/>
    </row>
    <row r="534" ht="12.75" customHeight="1">
      <c r="A534" s="100"/>
      <c r="B534" s="93"/>
      <c r="C534" s="41"/>
      <c r="D534" s="100"/>
      <c r="E534" s="101"/>
      <c r="F534" s="100"/>
    </row>
    <row r="535" ht="12.75" customHeight="1">
      <c r="A535" s="100"/>
      <c r="B535" s="93"/>
      <c r="C535" s="41"/>
      <c r="D535" s="100"/>
      <c r="E535" s="101"/>
      <c r="F535" s="100"/>
    </row>
    <row r="536" ht="12.75" customHeight="1">
      <c r="A536" s="100"/>
      <c r="B536" s="93"/>
      <c r="C536" s="41"/>
      <c r="D536" s="100"/>
      <c r="E536" s="101"/>
      <c r="F536" s="100"/>
    </row>
    <row r="537" ht="12.75" customHeight="1">
      <c r="A537" s="100"/>
      <c r="B537" s="93"/>
      <c r="C537" s="41"/>
      <c r="D537" s="100"/>
      <c r="E537" s="101"/>
      <c r="F537" s="100"/>
    </row>
    <row r="538" ht="12.75" customHeight="1">
      <c r="A538" s="100"/>
      <c r="B538" s="93"/>
      <c r="C538" s="41"/>
      <c r="D538" s="100"/>
      <c r="E538" s="101"/>
      <c r="F538" s="100"/>
    </row>
    <row r="539" ht="12.75" customHeight="1">
      <c r="A539" s="100"/>
      <c r="B539" s="93"/>
      <c r="C539" s="41"/>
      <c r="D539" s="100"/>
      <c r="E539" s="101"/>
      <c r="F539" s="100"/>
    </row>
    <row r="540" ht="12.75" customHeight="1">
      <c r="A540" s="100"/>
      <c r="B540" s="93"/>
      <c r="C540" s="41"/>
      <c r="D540" s="100"/>
      <c r="E540" s="101"/>
      <c r="F540" s="100"/>
    </row>
    <row r="541" ht="12.75" customHeight="1">
      <c r="A541" s="100"/>
      <c r="B541" s="93"/>
      <c r="C541" s="41"/>
      <c r="D541" s="100"/>
      <c r="E541" s="101"/>
      <c r="F541" s="100"/>
    </row>
    <row r="542" ht="12.75" customHeight="1">
      <c r="A542" s="100"/>
      <c r="B542" s="93"/>
      <c r="C542" s="41"/>
      <c r="D542" s="100"/>
      <c r="E542" s="101"/>
      <c r="F542" s="100"/>
    </row>
    <row r="543" ht="12.75" customHeight="1">
      <c r="A543" s="100"/>
      <c r="B543" s="93"/>
      <c r="C543" s="41"/>
      <c r="D543" s="100"/>
      <c r="E543" s="101"/>
      <c r="F543" s="100"/>
    </row>
    <row r="544" ht="12.75" customHeight="1">
      <c r="A544" s="100"/>
      <c r="B544" s="93"/>
      <c r="C544" s="41"/>
      <c r="D544" s="100"/>
      <c r="E544" s="101"/>
      <c r="F544" s="100"/>
    </row>
    <row r="545" ht="12.75" customHeight="1">
      <c r="A545" s="100"/>
      <c r="B545" s="93"/>
      <c r="C545" s="41"/>
      <c r="D545" s="100"/>
      <c r="E545" s="101"/>
      <c r="F545" s="100"/>
    </row>
    <row r="546" ht="12.75" customHeight="1">
      <c r="A546" s="100"/>
      <c r="B546" s="93"/>
      <c r="C546" s="41"/>
      <c r="D546" s="100"/>
      <c r="E546" s="101"/>
      <c r="F546" s="100"/>
    </row>
    <row r="547" ht="12.75" customHeight="1">
      <c r="A547" s="100"/>
      <c r="B547" s="93"/>
      <c r="C547" s="41"/>
      <c r="D547" s="100"/>
      <c r="E547" s="101"/>
      <c r="F547" s="100"/>
    </row>
    <row r="548" ht="12.75" customHeight="1">
      <c r="A548" s="100"/>
      <c r="B548" s="93"/>
      <c r="C548" s="41"/>
      <c r="D548" s="100"/>
      <c r="E548" s="101"/>
      <c r="F548" s="100"/>
    </row>
    <row r="549" ht="12.75" customHeight="1">
      <c r="A549" s="100"/>
      <c r="B549" s="93"/>
      <c r="C549" s="41"/>
      <c r="D549" s="100"/>
      <c r="E549" s="101"/>
      <c r="F549" s="100"/>
    </row>
    <row r="550" ht="12.75" customHeight="1">
      <c r="A550" s="100"/>
      <c r="B550" s="93"/>
      <c r="C550" s="41"/>
      <c r="D550" s="100"/>
      <c r="E550" s="101"/>
      <c r="F550" s="100"/>
    </row>
    <row r="551" ht="12.75" customHeight="1">
      <c r="A551" s="100"/>
      <c r="B551" s="93"/>
      <c r="C551" s="41"/>
      <c r="D551" s="100"/>
      <c r="E551" s="101"/>
      <c r="F551" s="100"/>
    </row>
    <row r="552" ht="12.75" customHeight="1">
      <c r="A552" s="100"/>
      <c r="B552" s="93"/>
      <c r="C552" s="41"/>
      <c r="D552" s="100"/>
      <c r="E552" s="101"/>
      <c r="F552" s="100"/>
    </row>
    <row r="553" ht="12.75" customHeight="1">
      <c r="A553" s="100"/>
      <c r="B553" s="93"/>
      <c r="C553" s="41"/>
      <c r="D553" s="100"/>
      <c r="E553" s="101"/>
      <c r="F553" s="100"/>
    </row>
    <row r="554" ht="12.75" customHeight="1">
      <c r="A554" s="100"/>
      <c r="B554" s="93"/>
      <c r="C554" s="41"/>
      <c r="D554" s="100"/>
      <c r="E554" s="101"/>
      <c r="F554" s="100"/>
    </row>
    <row r="555" ht="12.75" customHeight="1">
      <c r="A555" s="100"/>
      <c r="B555" s="93"/>
      <c r="C555" s="41"/>
      <c r="D555" s="100"/>
      <c r="E555" s="101"/>
      <c r="F555" s="100"/>
    </row>
    <row r="556" ht="12.75" customHeight="1">
      <c r="A556" s="100"/>
      <c r="B556" s="93"/>
      <c r="C556" s="41"/>
      <c r="D556" s="100"/>
      <c r="E556" s="101"/>
      <c r="F556" s="100"/>
    </row>
    <row r="557" ht="12.75" customHeight="1">
      <c r="A557" s="100"/>
      <c r="B557" s="93"/>
      <c r="C557" s="41"/>
      <c r="D557" s="100"/>
      <c r="E557" s="101"/>
      <c r="F557" s="100"/>
    </row>
    <row r="558" ht="12.75" customHeight="1">
      <c r="A558" s="100"/>
      <c r="B558" s="93"/>
      <c r="C558" s="41"/>
      <c r="D558" s="100"/>
      <c r="E558" s="101"/>
      <c r="F558" s="100"/>
    </row>
    <row r="559" ht="12.75" customHeight="1">
      <c r="A559" s="100"/>
      <c r="B559" s="93"/>
      <c r="C559" s="41"/>
      <c r="D559" s="100"/>
      <c r="E559" s="101"/>
      <c r="F559" s="100"/>
    </row>
    <row r="560" ht="12.75" customHeight="1">
      <c r="A560" s="100"/>
      <c r="B560" s="93"/>
      <c r="C560" s="41"/>
      <c r="D560" s="100"/>
      <c r="E560" s="101"/>
      <c r="F560" s="100"/>
    </row>
    <row r="561" ht="12.75" customHeight="1">
      <c r="A561" s="100"/>
      <c r="B561" s="93"/>
      <c r="C561" s="41"/>
      <c r="D561" s="100"/>
      <c r="E561" s="101"/>
      <c r="F561" s="100"/>
    </row>
    <row r="562" ht="12.75" customHeight="1">
      <c r="A562" s="100"/>
      <c r="B562" s="93"/>
      <c r="C562" s="41"/>
      <c r="D562" s="100"/>
      <c r="E562" s="101"/>
      <c r="F562" s="100"/>
    </row>
    <row r="563" ht="12.75" customHeight="1">
      <c r="A563" s="100"/>
      <c r="B563" s="93"/>
      <c r="C563" s="41"/>
      <c r="D563" s="100"/>
      <c r="E563" s="101"/>
      <c r="F563" s="100"/>
    </row>
    <row r="564" ht="12.75" customHeight="1">
      <c r="A564" s="100"/>
      <c r="B564" s="93"/>
      <c r="C564" s="41"/>
      <c r="D564" s="100"/>
      <c r="E564" s="101"/>
      <c r="F564" s="100"/>
    </row>
    <row r="565" ht="12.75" customHeight="1">
      <c r="A565" s="100"/>
      <c r="B565" s="93"/>
      <c r="C565" s="41"/>
      <c r="D565" s="100"/>
      <c r="E565" s="101"/>
      <c r="F565" s="100"/>
    </row>
    <row r="566" ht="12.75" customHeight="1">
      <c r="A566" s="100"/>
      <c r="B566" s="93"/>
      <c r="C566" s="41"/>
      <c r="D566" s="100"/>
      <c r="E566" s="101"/>
      <c r="F566" s="100"/>
    </row>
    <row r="567" ht="12.75" customHeight="1">
      <c r="A567" s="100"/>
      <c r="B567" s="93"/>
      <c r="C567" s="41"/>
      <c r="D567" s="100"/>
      <c r="E567" s="101"/>
      <c r="F567" s="100"/>
    </row>
    <row r="568" ht="12.75" customHeight="1">
      <c r="A568" s="100"/>
      <c r="B568" s="93"/>
      <c r="C568" s="41"/>
      <c r="D568" s="100"/>
      <c r="E568" s="101"/>
      <c r="F568" s="100"/>
    </row>
    <row r="569" ht="12.75" customHeight="1">
      <c r="A569" s="100"/>
      <c r="B569" s="93"/>
      <c r="C569" s="41"/>
      <c r="D569" s="100"/>
      <c r="E569" s="101"/>
      <c r="F569" s="100"/>
    </row>
    <row r="570" ht="12.75" customHeight="1">
      <c r="A570" s="100"/>
      <c r="B570" s="93"/>
      <c r="C570" s="41"/>
      <c r="D570" s="100"/>
      <c r="E570" s="101"/>
      <c r="F570" s="100"/>
    </row>
    <row r="571" ht="12.75" customHeight="1">
      <c r="A571" s="100"/>
      <c r="B571" s="93"/>
      <c r="C571" s="41"/>
      <c r="D571" s="100"/>
      <c r="E571" s="101"/>
      <c r="F571" s="100"/>
    </row>
    <row r="572" ht="12.75" customHeight="1">
      <c r="A572" s="100"/>
      <c r="B572" s="93"/>
      <c r="C572" s="41"/>
      <c r="D572" s="100"/>
      <c r="E572" s="101"/>
      <c r="F572" s="100"/>
    </row>
    <row r="573" ht="12.75" customHeight="1">
      <c r="A573" s="100"/>
      <c r="B573" s="93"/>
      <c r="C573" s="41"/>
      <c r="D573" s="100"/>
      <c r="E573" s="101"/>
      <c r="F573" s="100"/>
    </row>
    <row r="574" ht="12.75" customHeight="1">
      <c r="A574" s="100"/>
      <c r="B574" s="93"/>
      <c r="C574" s="41"/>
      <c r="D574" s="100"/>
      <c r="E574" s="101"/>
      <c r="F574" s="100"/>
    </row>
    <row r="575" ht="12.75" customHeight="1">
      <c r="A575" s="100"/>
      <c r="B575" s="93"/>
      <c r="C575" s="41"/>
      <c r="D575" s="100"/>
      <c r="E575" s="101"/>
      <c r="F575" s="100"/>
    </row>
    <row r="576" ht="12.75" customHeight="1">
      <c r="A576" s="100"/>
      <c r="B576" s="93"/>
      <c r="C576" s="41"/>
      <c r="D576" s="100"/>
      <c r="E576" s="101"/>
      <c r="F576" s="100"/>
    </row>
    <row r="577" ht="12.75" customHeight="1">
      <c r="A577" s="100"/>
      <c r="B577" s="93"/>
      <c r="C577" s="41"/>
      <c r="D577" s="100"/>
      <c r="E577" s="101"/>
      <c r="F577" s="100"/>
    </row>
    <row r="578" ht="12.75" customHeight="1">
      <c r="A578" s="100"/>
      <c r="B578" s="93"/>
      <c r="C578" s="41"/>
      <c r="D578" s="100"/>
      <c r="E578" s="101"/>
      <c r="F578" s="100"/>
    </row>
    <row r="579" ht="12.75" customHeight="1">
      <c r="A579" s="100"/>
      <c r="B579" s="93"/>
      <c r="C579" s="41"/>
      <c r="D579" s="100"/>
      <c r="E579" s="101"/>
      <c r="F579" s="100"/>
    </row>
    <row r="580" ht="12.75" customHeight="1">
      <c r="A580" s="100"/>
      <c r="B580" s="93"/>
      <c r="C580" s="41"/>
      <c r="D580" s="100"/>
      <c r="E580" s="101"/>
      <c r="F580" s="100"/>
    </row>
    <row r="581" ht="12.75" customHeight="1">
      <c r="A581" s="100"/>
      <c r="B581" s="93"/>
      <c r="C581" s="41"/>
      <c r="D581" s="100"/>
      <c r="E581" s="101"/>
      <c r="F581" s="100"/>
    </row>
    <row r="582" ht="12.75" customHeight="1">
      <c r="A582" s="100"/>
      <c r="B582" s="93"/>
      <c r="C582" s="41"/>
      <c r="D582" s="100"/>
      <c r="E582" s="101"/>
      <c r="F582" s="100"/>
    </row>
    <row r="583" ht="12.75" customHeight="1">
      <c r="A583" s="100"/>
      <c r="B583" s="93"/>
      <c r="C583" s="41"/>
      <c r="D583" s="100"/>
      <c r="E583" s="101"/>
      <c r="F583" s="100"/>
    </row>
    <row r="584" ht="12.75" customHeight="1">
      <c r="A584" s="100"/>
      <c r="B584" s="93"/>
      <c r="C584" s="41"/>
      <c r="D584" s="100"/>
      <c r="E584" s="101"/>
      <c r="F584" s="100"/>
    </row>
    <row r="585" ht="12.75" customHeight="1">
      <c r="A585" s="100"/>
      <c r="B585" s="93"/>
      <c r="C585" s="41"/>
      <c r="D585" s="100"/>
      <c r="E585" s="101"/>
      <c r="F585" s="100"/>
    </row>
    <row r="586" ht="12.75" customHeight="1">
      <c r="A586" s="100"/>
      <c r="B586" s="93"/>
      <c r="C586" s="41"/>
      <c r="D586" s="100"/>
      <c r="E586" s="101"/>
      <c r="F586" s="100"/>
    </row>
    <row r="587" ht="12.75" customHeight="1">
      <c r="A587" s="100"/>
      <c r="B587" s="93"/>
      <c r="C587" s="41"/>
      <c r="D587" s="100"/>
      <c r="E587" s="101"/>
      <c r="F587" s="100"/>
    </row>
    <row r="588" ht="12.75" customHeight="1">
      <c r="A588" s="100"/>
      <c r="B588" s="93"/>
      <c r="C588" s="41"/>
      <c r="D588" s="100"/>
      <c r="E588" s="101"/>
      <c r="F588" s="100"/>
    </row>
    <row r="589" ht="12.75" customHeight="1">
      <c r="A589" s="100"/>
      <c r="B589" s="93"/>
      <c r="C589" s="41"/>
      <c r="D589" s="100"/>
      <c r="E589" s="101"/>
      <c r="F589" s="100"/>
    </row>
    <row r="590" ht="12.75" customHeight="1">
      <c r="A590" s="100"/>
      <c r="B590" s="93"/>
      <c r="C590" s="41"/>
      <c r="D590" s="100"/>
      <c r="E590" s="101"/>
      <c r="F590" s="100"/>
    </row>
    <row r="591" ht="12.75" customHeight="1">
      <c r="A591" s="100"/>
      <c r="B591" s="93"/>
      <c r="C591" s="41"/>
      <c r="D591" s="100"/>
      <c r="E591" s="101"/>
      <c r="F591" s="100"/>
    </row>
    <row r="592" ht="12.75" customHeight="1">
      <c r="A592" s="100"/>
      <c r="B592" s="93"/>
      <c r="C592" s="41"/>
      <c r="D592" s="100"/>
      <c r="E592" s="101"/>
      <c r="F592" s="100"/>
    </row>
    <row r="593" ht="12.75" customHeight="1">
      <c r="A593" s="100"/>
      <c r="B593" s="93"/>
      <c r="C593" s="41"/>
      <c r="D593" s="100"/>
      <c r="E593" s="101"/>
      <c r="F593" s="100"/>
    </row>
    <row r="594" ht="12.75" customHeight="1">
      <c r="A594" s="100"/>
      <c r="B594" s="93"/>
      <c r="C594" s="41"/>
      <c r="D594" s="100"/>
      <c r="E594" s="101"/>
      <c r="F594" s="100"/>
    </row>
    <row r="595" ht="12.75" customHeight="1">
      <c r="A595" s="100"/>
      <c r="B595" s="93"/>
      <c r="C595" s="41"/>
      <c r="D595" s="100"/>
      <c r="E595" s="101"/>
      <c r="F595" s="100"/>
    </row>
    <row r="596" ht="12.75" customHeight="1">
      <c r="A596" s="100"/>
      <c r="B596" s="93"/>
      <c r="C596" s="41"/>
      <c r="D596" s="100"/>
      <c r="E596" s="101"/>
      <c r="F596" s="100"/>
    </row>
    <row r="597" ht="12.75" customHeight="1">
      <c r="A597" s="100"/>
      <c r="B597" s="93"/>
      <c r="C597" s="41"/>
      <c r="D597" s="100"/>
      <c r="E597" s="101"/>
      <c r="F597" s="100"/>
    </row>
    <row r="598" ht="12.75" customHeight="1">
      <c r="A598" s="100"/>
      <c r="B598" s="93"/>
      <c r="C598" s="41"/>
      <c r="D598" s="100"/>
      <c r="E598" s="101"/>
      <c r="F598" s="100"/>
    </row>
    <row r="599" ht="12.75" customHeight="1">
      <c r="A599" s="100"/>
      <c r="B599" s="93"/>
      <c r="C599" s="41"/>
      <c r="D599" s="100"/>
      <c r="E599" s="101"/>
      <c r="F599" s="100"/>
    </row>
    <row r="600" ht="12.75" customHeight="1">
      <c r="A600" s="100"/>
      <c r="B600" s="93"/>
      <c r="C600" s="41"/>
      <c r="D600" s="100"/>
      <c r="E600" s="101"/>
      <c r="F600" s="100"/>
    </row>
    <row r="601" ht="12.75" customHeight="1">
      <c r="A601" s="100"/>
      <c r="B601" s="93"/>
      <c r="C601" s="41"/>
      <c r="D601" s="100"/>
      <c r="E601" s="101"/>
      <c r="F601" s="100"/>
    </row>
    <row r="602" ht="12.75" customHeight="1">
      <c r="A602" s="100"/>
      <c r="B602" s="93"/>
      <c r="C602" s="41"/>
      <c r="D602" s="100"/>
      <c r="E602" s="101"/>
      <c r="F602" s="100"/>
    </row>
    <row r="603" ht="12.75" customHeight="1">
      <c r="A603" s="100"/>
      <c r="B603" s="93"/>
      <c r="C603" s="41"/>
      <c r="D603" s="100"/>
      <c r="E603" s="101"/>
      <c r="F603" s="100"/>
    </row>
    <row r="604" ht="12.75" customHeight="1">
      <c r="A604" s="100"/>
      <c r="B604" s="93"/>
      <c r="C604" s="41"/>
      <c r="D604" s="100"/>
      <c r="E604" s="101"/>
      <c r="F604" s="100"/>
    </row>
    <row r="605" ht="12.75" customHeight="1">
      <c r="A605" s="100"/>
      <c r="B605" s="93"/>
      <c r="C605" s="41"/>
      <c r="D605" s="100"/>
      <c r="E605" s="101"/>
      <c r="F605" s="100"/>
    </row>
    <row r="606" ht="12.75" customHeight="1">
      <c r="A606" s="100"/>
      <c r="B606" s="93"/>
      <c r="C606" s="41"/>
      <c r="D606" s="100"/>
      <c r="E606" s="101"/>
      <c r="F606" s="100"/>
    </row>
    <row r="607" ht="12.75" customHeight="1">
      <c r="A607" s="100"/>
      <c r="B607" s="93"/>
      <c r="C607" s="41"/>
      <c r="D607" s="100"/>
      <c r="E607" s="101"/>
      <c r="F607" s="100"/>
    </row>
    <row r="608" ht="12.75" customHeight="1">
      <c r="A608" s="100"/>
      <c r="B608" s="93"/>
      <c r="C608" s="41"/>
      <c r="D608" s="100"/>
      <c r="E608" s="101"/>
      <c r="F608" s="100"/>
    </row>
    <row r="609" ht="12.75" customHeight="1">
      <c r="A609" s="100"/>
      <c r="B609" s="93"/>
      <c r="C609" s="41"/>
      <c r="D609" s="100"/>
      <c r="E609" s="101"/>
      <c r="F609" s="100"/>
    </row>
    <row r="610" ht="12.75" customHeight="1">
      <c r="A610" s="100"/>
      <c r="B610" s="93"/>
      <c r="C610" s="41"/>
      <c r="D610" s="100"/>
      <c r="E610" s="101"/>
      <c r="F610" s="100"/>
    </row>
    <row r="611" ht="12.75" customHeight="1">
      <c r="A611" s="100"/>
      <c r="B611" s="93"/>
      <c r="C611" s="41"/>
      <c r="D611" s="100"/>
      <c r="E611" s="101"/>
      <c r="F611" s="100"/>
    </row>
    <row r="612" ht="12.75" customHeight="1">
      <c r="A612" s="100"/>
      <c r="B612" s="93"/>
      <c r="C612" s="41"/>
      <c r="D612" s="100"/>
      <c r="E612" s="101"/>
      <c r="F612" s="100"/>
    </row>
    <row r="613" ht="12.75" customHeight="1">
      <c r="A613" s="100"/>
      <c r="B613" s="93"/>
      <c r="C613" s="41"/>
      <c r="D613" s="100"/>
      <c r="E613" s="101"/>
      <c r="F613" s="100"/>
    </row>
    <row r="614" ht="12.75" customHeight="1">
      <c r="A614" s="100"/>
      <c r="B614" s="93"/>
      <c r="C614" s="41"/>
      <c r="D614" s="100"/>
      <c r="E614" s="101"/>
      <c r="F614" s="100"/>
    </row>
    <row r="615" ht="12.75" customHeight="1">
      <c r="A615" s="100"/>
      <c r="B615" s="93"/>
      <c r="C615" s="41"/>
      <c r="D615" s="100"/>
      <c r="E615" s="101"/>
      <c r="F615" s="100"/>
    </row>
    <row r="616" ht="12.75" customHeight="1">
      <c r="A616" s="100"/>
      <c r="B616" s="93"/>
      <c r="C616" s="41"/>
      <c r="D616" s="100"/>
      <c r="E616" s="101"/>
      <c r="F616" s="100"/>
    </row>
    <row r="617" ht="12.75" customHeight="1">
      <c r="A617" s="100"/>
      <c r="B617" s="93"/>
      <c r="C617" s="41"/>
      <c r="D617" s="100"/>
      <c r="E617" s="101"/>
      <c r="F617" s="100"/>
    </row>
    <row r="618" ht="12.75" customHeight="1">
      <c r="A618" s="100"/>
      <c r="B618" s="93"/>
      <c r="C618" s="41"/>
      <c r="D618" s="100"/>
      <c r="E618" s="101"/>
      <c r="F618" s="100"/>
    </row>
    <row r="619" ht="12.75" customHeight="1">
      <c r="A619" s="100"/>
      <c r="B619" s="93"/>
      <c r="C619" s="41"/>
      <c r="D619" s="100"/>
      <c r="E619" s="101"/>
      <c r="F619" s="100"/>
    </row>
    <row r="620" ht="12.75" customHeight="1">
      <c r="A620" s="100"/>
      <c r="B620" s="93"/>
      <c r="C620" s="41"/>
      <c r="D620" s="100"/>
      <c r="E620" s="101"/>
      <c r="F620" s="100"/>
    </row>
    <row r="621" ht="12.75" customHeight="1">
      <c r="A621" s="100"/>
      <c r="B621" s="93"/>
      <c r="C621" s="41"/>
      <c r="D621" s="100"/>
      <c r="E621" s="101"/>
      <c r="F621" s="100"/>
    </row>
    <row r="622" ht="12.75" customHeight="1">
      <c r="A622" s="100"/>
      <c r="B622" s="93"/>
      <c r="C622" s="41"/>
      <c r="D622" s="100"/>
      <c r="E622" s="101"/>
      <c r="F622" s="100"/>
    </row>
    <row r="623" ht="12.75" customHeight="1">
      <c r="A623" s="100"/>
      <c r="B623" s="93"/>
      <c r="C623" s="41"/>
      <c r="D623" s="100"/>
      <c r="E623" s="101"/>
      <c r="F623" s="100"/>
    </row>
    <row r="624" ht="12.75" customHeight="1">
      <c r="A624" s="100"/>
      <c r="B624" s="93"/>
      <c r="C624" s="41"/>
      <c r="D624" s="100"/>
      <c r="E624" s="101"/>
      <c r="F624" s="100"/>
    </row>
    <row r="625" ht="12.75" customHeight="1">
      <c r="A625" s="100"/>
      <c r="B625" s="93"/>
      <c r="C625" s="41"/>
      <c r="D625" s="100"/>
      <c r="E625" s="101"/>
      <c r="F625" s="100"/>
    </row>
    <row r="626" ht="12.75" customHeight="1">
      <c r="A626" s="100"/>
      <c r="B626" s="93"/>
      <c r="C626" s="41"/>
      <c r="D626" s="100"/>
      <c r="E626" s="101"/>
      <c r="F626" s="100"/>
    </row>
    <row r="627" ht="12.75" customHeight="1">
      <c r="A627" s="100"/>
      <c r="B627" s="93"/>
      <c r="C627" s="41"/>
      <c r="D627" s="100"/>
      <c r="E627" s="101"/>
      <c r="F627" s="100"/>
    </row>
    <row r="628" ht="12.75" customHeight="1">
      <c r="A628" s="100"/>
      <c r="B628" s="93"/>
      <c r="C628" s="41"/>
      <c r="D628" s="100"/>
      <c r="E628" s="101"/>
      <c r="F628" s="100"/>
    </row>
    <row r="629" ht="12.75" customHeight="1">
      <c r="A629" s="100"/>
      <c r="B629" s="93"/>
      <c r="C629" s="41"/>
      <c r="D629" s="100"/>
      <c r="E629" s="101"/>
      <c r="F629" s="100"/>
    </row>
    <row r="630" ht="12.75" customHeight="1">
      <c r="A630" s="100"/>
      <c r="B630" s="93"/>
      <c r="C630" s="41"/>
      <c r="D630" s="100"/>
      <c r="E630" s="101"/>
      <c r="F630" s="100"/>
    </row>
    <row r="631" ht="12.75" customHeight="1">
      <c r="A631" s="100"/>
      <c r="B631" s="93"/>
      <c r="C631" s="41"/>
      <c r="D631" s="100"/>
      <c r="E631" s="101"/>
      <c r="F631" s="100"/>
    </row>
    <row r="632" ht="12.75" customHeight="1">
      <c r="A632" s="100"/>
      <c r="B632" s="93"/>
      <c r="C632" s="41"/>
      <c r="D632" s="100"/>
      <c r="E632" s="101"/>
      <c r="F632" s="100"/>
    </row>
    <row r="633" ht="12.75" customHeight="1">
      <c r="A633" s="100"/>
      <c r="B633" s="93"/>
      <c r="C633" s="41"/>
      <c r="D633" s="100"/>
      <c r="E633" s="101"/>
      <c r="F633" s="100"/>
    </row>
    <row r="634" ht="12.75" customHeight="1">
      <c r="A634" s="100"/>
      <c r="B634" s="93"/>
      <c r="C634" s="41"/>
      <c r="D634" s="100"/>
      <c r="E634" s="101"/>
      <c r="F634" s="100"/>
    </row>
    <row r="635" ht="12.75" customHeight="1">
      <c r="A635" s="100"/>
      <c r="B635" s="93"/>
      <c r="C635" s="41"/>
      <c r="D635" s="100"/>
      <c r="E635" s="101"/>
      <c r="F635" s="100"/>
    </row>
    <row r="636" ht="12.75" customHeight="1">
      <c r="A636" s="100"/>
      <c r="B636" s="93"/>
      <c r="C636" s="41"/>
      <c r="D636" s="100"/>
      <c r="E636" s="101"/>
      <c r="F636" s="100"/>
    </row>
    <row r="637" ht="12.75" customHeight="1">
      <c r="A637" s="100"/>
      <c r="B637" s="93"/>
      <c r="C637" s="41"/>
      <c r="D637" s="100"/>
      <c r="E637" s="101"/>
      <c r="F637" s="100"/>
    </row>
    <row r="638" ht="12.75" customHeight="1">
      <c r="A638" s="100"/>
      <c r="B638" s="93"/>
      <c r="C638" s="41"/>
      <c r="D638" s="100"/>
      <c r="E638" s="101"/>
      <c r="F638" s="100"/>
    </row>
    <row r="639" ht="12.75" customHeight="1">
      <c r="A639" s="100"/>
      <c r="B639" s="93"/>
      <c r="C639" s="41"/>
      <c r="D639" s="100"/>
      <c r="E639" s="101"/>
      <c r="F639" s="100"/>
    </row>
    <row r="640" ht="12.75" customHeight="1">
      <c r="A640" s="100"/>
      <c r="B640" s="93"/>
      <c r="C640" s="41"/>
      <c r="D640" s="100"/>
      <c r="E640" s="101"/>
      <c r="F640" s="100"/>
    </row>
    <row r="641" ht="12.75" customHeight="1">
      <c r="A641" s="100"/>
      <c r="B641" s="93"/>
      <c r="C641" s="41"/>
      <c r="D641" s="100"/>
      <c r="E641" s="101"/>
      <c r="F641" s="100"/>
    </row>
    <row r="642" ht="12.75" customHeight="1">
      <c r="A642" s="100"/>
      <c r="B642" s="93"/>
      <c r="C642" s="41"/>
      <c r="D642" s="100"/>
      <c r="E642" s="101"/>
      <c r="F642" s="100"/>
    </row>
    <row r="643" ht="12.75" customHeight="1">
      <c r="A643" s="100"/>
      <c r="B643" s="93"/>
      <c r="C643" s="41"/>
      <c r="D643" s="100"/>
      <c r="E643" s="101"/>
      <c r="F643" s="100"/>
    </row>
    <row r="644" ht="12.75" customHeight="1">
      <c r="A644" s="100"/>
      <c r="B644" s="93"/>
      <c r="C644" s="41"/>
      <c r="D644" s="100"/>
      <c r="E644" s="101"/>
      <c r="F644" s="100"/>
    </row>
    <row r="645" ht="12.75" customHeight="1">
      <c r="A645" s="100"/>
      <c r="B645" s="93"/>
      <c r="C645" s="41"/>
      <c r="D645" s="100"/>
      <c r="E645" s="101"/>
      <c r="F645" s="100"/>
    </row>
    <row r="646" ht="12.75" customHeight="1">
      <c r="A646" s="100"/>
      <c r="B646" s="93"/>
      <c r="C646" s="41"/>
      <c r="D646" s="100"/>
      <c r="E646" s="101"/>
      <c r="F646" s="100"/>
    </row>
    <row r="647" ht="12.75" customHeight="1">
      <c r="A647" s="100"/>
      <c r="B647" s="93"/>
      <c r="C647" s="41"/>
      <c r="D647" s="100"/>
      <c r="E647" s="101"/>
      <c r="F647" s="100"/>
    </row>
    <row r="648" ht="12.75" customHeight="1">
      <c r="A648" s="100"/>
      <c r="B648" s="93"/>
      <c r="C648" s="41"/>
      <c r="D648" s="100"/>
      <c r="E648" s="101"/>
      <c r="F648" s="100"/>
    </row>
    <row r="649" ht="12.75" customHeight="1">
      <c r="A649" s="100"/>
      <c r="B649" s="93"/>
      <c r="C649" s="41"/>
      <c r="D649" s="100"/>
      <c r="E649" s="101"/>
      <c r="F649" s="100"/>
    </row>
    <row r="650" ht="12.75" customHeight="1">
      <c r="A650" s="100"/>
      <c r="B650" s="93"/>
      <c r="C650" s="41"/>
      <c r="D650" s="100"/>
      <c r="E650" s="101"/>
      <c r="F650" s="100"/>
    </row>
    <row r="651" ht="12.75" customHeight="1">
      <c r="A651" s="100"/>
      <c r="B651" s="93"/>
      <c r="C651" s="41"/>
      <c r="D651" s="100"/>
      <c r="E651" s="101"/>
      <c r="F651" s="100"/>
    </row>
    <row r="652" ht="12.75" customHeight="1">
      <c r="A652" s="100"/>
      <c r="B652" s="93"/>
      <c r="C652" s="41"/>
      <c r="D652" s="100"/>
      <c r="E652" s="101"/>
      <c r="F652" s="100"/>
    </row>
    <row r="653" ht="12.75" customHeight="1">
      <c r="A653" s="100"/>
      <c r="B653" s="93"/>
      <c r="C653" s="41"/>
      <c r="D653" s="100"/>
      <c r="E653" s="101"/>
      <c r="F653" s="100"/>
    </row>
    <row r="654" ht="12.75" customHeight="1">
      <c r="A654" s="100"/>
      <c r="B654" s="93"/>
      <c r="C654" s="41"/>
      <c r="D654" s="100"/>
      <c r="E654" s="101"/>
      <c r="F654" s="100"/>
    </row>
    <row r="655" ht="12.75" customHeight="1">
      <c r="A655" s="100"/>
      <c r="B655" s="93"/>
      <c r="C655" s="41"/>
      <c r="D655" s="100"/>
      <c r="E655" s="101"/>
      <c r="F655" s="100"/>
    </row>
    <row r="656" ht="12.75" customHeight="1">
      <c r="A656" s="100"/>
      <c r="B656" s="93"/>
      <c r="C656" s="41"/>
      <c r="D656" s="100"/>
      <c r="E656" s="101"/>
      <c r="F656" s="100"/>
    </row>
    <row r="657" ht="12.75" customHeight="1">
      <c r="A657" s="100"/>
      <c r="B657" s="93"/>
      <c r="C657" s="41"/>
      <c r="D657" s="100"/>
      <c r="E657" s="101"/>
      <c r="F657" s="100"/>
    </row>
    <row r="658" ht="12.75" customHeight="1">
      <c r="A658" s="100"/>
      <c r="B658" s="93"/>
      <c r="C658" s="41"/>
      <c r="D658" s="100"/>
      <c r="E658" s="101"/>
      <c r="F658" s="100"/>
    </row>
    <row r="659" ht="12.75" customHeight="1">
      <c r="A659" s="100"/>
      <c r="B659" s="93"/>
      <c r="C659" s="41"/>
      <c r="D659" s="100"/>
      <c r="E659" s="101"/>
      <c r="F659" s="100"/>
    </row>
    <row r="660" ht="12.75" customHeight="1">
      <c r="A660" s="100"/>
      <c r="B660" s="93"/>
      <c r="C660" s="41"/>
      <c r="D660" s="100"/>
      <c r="E660" s="101"/>
      <c r="F660" s="100"/>
    </row>
    <row r="661" ht="12.75" customHeight="1">
      <c r="A661" s="100"/>
      <c r="B661" s="93"/>
      <c r="C661" s="41"/>
      <c r="D661" s="100"/>
      <c r="E661" s="101"/>
      <c r="F661" s="100"/>
    </row>
    <row r="662" ht="12.75" customHeight="1">
      <c r="A662" s="100"/>
      <c r="B662" s="93"/>
      <c r="C662" s="41"/>
      <c r="D662" s="100"/>
      <c r="E662" s="101"/>
      <c r="F662" s="100"/>
    </row>
    <row r="663" ht="12.75" customHeight="1">
      <c r="A663" s="100"/>
      <c r="B663" s="93"/>
      <c r="C663" s="41"/>
      <c r="D663" s="100"/>
      <c r="E663" s="101"/>
      <c r="F663" s="100"/>
    </row>
    <row r="664" ht="12.75" customHeight="1">
      <c r="A664" s="100"/>
      <c r="B664" s="93"/>
      <c r="C664" s="41"/>
      <c r="D664" s="100"/>
      <c r="E664" s="101"/>
      <c r="F664" s="100"/>
    </row>
    <row r="665" ht="12.75" customHeight="1">
      <c r="A665" s="100"/>
      <c r="B665" s="93"/>
      <c r="C665" s="41"/>
      <c r="D665" s="100"/>
      <c r="E665" s="101"/>
      <c r="F665" s="100"/>
    </row>
    <row r="666" ht="12.75" customHeight="1">
      <c r="A666" s="100"/>
      <c r="B666" s="93"/>
      <c r="C666" s="41"/>
      <c r="D666" s="100"/>
      <c r="E666" s="101"/>
      <c r="F666" s="100"/>
    </row>
    <row r="667" ht="12.75" customHeight="1">
      <c r="A667" s="100"/>
      <c r="B667" s="93"/>
      <c r="C667" s="41"/>
      <c r="D667" s="100"/>
      <c r="E667" s="101"/>
      <c r="F667" s="100"/>
    </row>
    <row r="668" ht="12.75" customHeight="1">
      <c r="A668" s="100"/>
      <c r="B668" s="93"/>
      <c r="C668" s="41"/>
      <c r="D668" s="100"/>
      <c r="E668" s="101"/>
      <c r="F668" s="100"/>
    </row>
    <row r="669" ht="12.75" customHeight="1">
      <c r="A669" s="100"/>
      <c r="B669" s="93"/>
      <c r="C669" s="41"/>
      <c r="D669" s="100"/>
      <c r="E669" s="101"/>
      <c r="F669" s="100"/>
    </row>
    <row r="670" ht="12.75" customHeight="1">
      <c r="A670" s="100"/>
      <c r="B670" s="93"/>
      <c r="C670" s="41"/>
      <c r="D670" s="100"/>
      <c r="E670" s="101"/>
      <c r="F670" s="100"/>
    </row>
    <row r="671" ht="12.75" customHeight="1">
      <c r="A671" s="100"/>
      <c r="B671" s="93"/>
      <c r="C671" s="41"/>
      <c r="D671" s="100"/>
      <c r="E671" s="101"/>
      <c r="F671" s="100"/>
    </row>
    <row r="672" ht="12.75" customHeight="1">
      <c r="A672" s="100"/>
      <c r="B672" s="93"/>
      <c r="C672" s="41"/>
      <c r="D672" s="100"/>
      <c r="E672" s="101"/>
      <c r="F672" s="100"/>
    </row>
    <row r="673" ht="12.75" customHeight="1">
      <c r="A673" s="100"/>
      <c r="B673" s="93"/>
      <c r="C673" s="41"/>
      <c r="D673" s="100"/>
      <c r="E673" s="101"/>
      <c r="F673" s="100"/>
    </row>
    <row r="674" ht="12.75" customHeight="1">
      <c r="A674" s="100"/>
      <c r="B674" s="93"/>
      <c r="C674" s="41"/>
      <c r="D674" s="100"/>
      <c r="E674" s="101"/>
      <c r="F674" s="100"/>
    </row>
    <row r="675" ht="12.75" customHeight="1">
      <c r="A675" s="100"/>
      <c r="B675" s="93"/>
      <c r="C675" s="41"/>
      <c r="D675" s="100"/>
      <c r="E675" s="101"/>
      <c r="F675" s="100"/>
    </row>
    <row r="676" ht="12.75" customHeight="1">
      <c r="A676" s="100"/>
      <c r="B676" s="93"/>
      <c r="C676" s="41"/>
      <c r="D676" s="100"/>
      <c r="E676" s="101"/>
      <c r="F676" s="100"/>
    </row>
    <row r="677" ht="12.75" customHeight="1">
      <c r="A677" s="100"/>
      <c r="B677" s="93"/>
      <c r="C677" s="41"/>
      <c r="D677" s="100"/>
      <c r="E677" s="101"/>
      <c r="F677" s="100"/>
    </row>
    <row r="678" ht="12.75" customHeight="1">
      <c r="A678" s="100"/>
      <c r="B678" s="93"/>
      <c r="C678" s="41"/>
      <c r="D678" s="100"/>
      <c r="E678" s="101"/>
      <c r="F678" s="100"/>
    </row>
    <row r="679" ht="12.75" customHeight="1">
      <c r="A679" s="100"/>
      <c r="B679" s="93"/>
      <c r="C679" s="41"/>
      <c r="D679" s="100"/>
      <c r="E679" s="101"/>
      <c r="F679" s="100"/>
    </row>
    <row r="680" ht="12.75" customHeight="1">
      <c r="A680" s="100"/>
      <c r="B680" s="93"/>
      <c r="C680" s="41"/>
      <c r="D680" s="100"/>
      <c r="E680" s="101"/>
      <c r="F680" s="100"/>
    </row>
    <row r="681" ht="12.75" customHeight="1">
      <c r="A681" s="100"/>
      <c r="B681" s="93"/>
      <c r="C681" s="41"/>
      <c r="D681" s="100"/>
      <c r="E681" s="101"/>
      <c r="F681" s="100"/>
    </row>
    <row r="682" ht="12.75" customHeight="1">
      <c r="A682" s="100"/>
      <c r="B682" s="93"/>
      <c r="C682" s="41"/>
      <c r="D682" s="100"/>
      <c r="E682" s="101"/>
      <c r="F682" s="100"/>
    </row>
    <row r="683" ht="12.75" customHeight="1">
      <c r="A683" s="100"/>
      <c r="B683" s="93"/>
      <c r="C683" s="41"/>
      <c r="D683" s="100"/>
      <c r="E683" s="101"/>
      <c r="F683" s="100"/>
    </row>
    <row r="684" ht="12.75" customHeight="1">
      <c r="A684" s="100"/>
      <c r="B684" s="93"/>
      <c r="C684" s="41"/>
      <c r="D684" s="100"/>
      <c r="E684" s="101"/>
      <c r="F684" s="100"/>
    </row>
    <row r="685" ht="12.75" customHeight="1">
      <c r="A685" s="100"/>
      <c r="B685" s="93"/>
      <c r="C685" s="41"/>
      <c r="D685" s="100"/>
      <c r="E685" s="101"/>
      <c r="F685" s="100"/>
    </row>
    <row r="686" ht="12.75" customHeight="1">
      <c r="A686" s="100"/>
      <c r="B686" s="93"/>
      <c r="C686" s="41"/>
      <c r="D686" s="100"/>
      <c r="E686" s="101"/>
      <c r="F686" s="100"/>
    </row>
    <row r="687" ht="12.75" customHeight="1">
      <c r="A687" s="100"/>
      <c r="B687" s="93"/>
      <c r="C687" s="41"/>
      <c r="D687" s="100"/>
      <c r="E687" s="101"/>
      <c r="F687" s="100"/>
    </row>
    <row r="688" ht="12.75" customHeight="1">
      <c r="A688" s="100"/>
      <c r="B688" s="93"/>
      <c r="C688" s="41"/>
      <c r="D688" s="100"/>
      <c r="E688" s="101"/>
      <c r="F688" s="100"/>
    </row>
    <row r="689" ht="12.75" customHeight="1">
      <c r="A689" s="100"/>
      <c r="B689" s="93"/>
      <c r="C689" s="41"/>
      <c r="D689" s="100"/>
      <c r="E689" s="101"/>
      <c r="F689" s="100"/>
    </row>
    <row r="690" ht="12.75" customHeight="1">
      <c r="A690" s="100"/>
      <c r="B690" s="93"/>
      <c r="C690" s="41"/>
      <c r="D690" s="100"/>
      <c r="E690" s="101"/>
      <c r="F690" s="100"/>
    </row>
    <row r="691" ht="12.75" customHeight="1">
      <c r="A691" s="100"/>
      <c r="B691" s="93"/>
      <c r="C691" s="41"/>
      <c r="D691" s="100"/>
      <c r="E691" s="101"/>
      <c r="F691" s="100"/>
    </row>
    <row r="692" ht="12.75" customHeight="1">
      <c r="A692" s="100"/>
      <c r="B692" s="93"/>
      <c r="C692" s="41"/>
      <c r="D692" s="100"/>
      <c r="E692" s="101"/>
      <c r="F692" s="100"/>
    </row>
    <row r="693" ht="12.75" customHeight="1">
      <c r="A693" s="100"/>
      <c r="B693" s="93"/>
      <c r="C693" s="41"/>
      <c r="D693" s="100"/>
      <c r="E693" s="101"/>
      <c r="F693" s="100"/>
    </row>
    <row r="694" ht="12.75" customHeight="1">
      <c r="A694" s="100"/>
      <c r="B694" s="93"/>
      <c r="C694" s="41"/>
      <c r="D694" s="100"/>
      <c r="E694" s="101"/>
      <c r="F694" s="100"/>
    </row>
    <row r="695" ht="12.75" customHeight="1">
      <c r="A695" s="100"/>
      <c r="B695" s="93"/>
      <c r="C695" s="41"/>
      <c r="D695" s="100"/>
      <c r="E695" s="101"/>
      <c r="F695" s="100"/>
    </row>
    <row r="696" ht="12.75" customHeight="1">
      <c r="A696" s="100"/>
      <c r="B696" s="93"/>
      <c r="C696" s="41"/>
      <c r="D696" s="100"/>
      <c r="E696" s="101"/>
      <c r="F696" s="100"/>
    </row>
    <row r="697" ht="12.75" customHeight="1">
      <c r="A697" s="100"/>
      <c r="B697" s="93"/>
      <c r="C697" s="41"/>
      <c r="D697" s="100"/>
      <c r="E697" s="101"/>
      <c r="F697" s="100"/>
    </row>
    <row r="698" ht="12.75" customHeight="1">
      <c r="A698" s="100"/>
      <c r="B698" s="93"/>
      <c r="C698" s="41"/>
      <c r="D698" s="100"/>
      <c r="E698" s="101"/>
      <c r="F698" s="100"/>
    </row>
    <row r="699" ht="12.75" customHeight="1">
      <c r="A699" s="100"/>
      <c r="B699" s="93"/>
      <c r="C699" s="41"/>
      <c r="D699" s="100"/>
      <c r="E699" s="101"/>
      <c r="F699" s="100"/>
    </row>
    <row r="700" ht="12.75" customHeight="1">
      <c r="A700" s="100"/>
      <c r="B700" s="93"/>
      <c r="C700" s="41"/>
      <c r="D700" s="100"/>
      <c r="E700" s="101"/>
      <c r="F700" s="100"/>
    </row>
    <row r="701" ht="12.75" customHeight="1">
      <c r="A701" s="100"/>
      <c r="B701" s="93"/>
      <c r="C701" s="41"/>
      <c r="D701" s="100"/>
      <c r="E701" s="101"/>
      <c r="F701" s="100"/>
    </row>
    <row r="702" ht="12.75" customHeight="1">
      <c r="A702" s="100"/>
      <c r="B702" s="93"/>
      <c r="C702" s="41"/>
      <c r="D702" s="100"/>
      <c r="E702" s="101"/>
      <c r="F702" s="100"/>
    </row>
    <row r="703" ht="12.75" customHeight="1">
      <c r="A703" s="100"/>
      <c r="B703" s="93"/>
      <c r="C703" s="41"/>
      <c r="D703" s="100"/>
      <c r="E703" s="101"/>
      <c r="F703" s="100"/>
    </row>
    <row r="704" ht="12.75" customHeight="1">
      <c r="A704" s="100"/>
      <c r="B704" s="93"/>
      <c r="C704" s="41"/>
      <c r="D704" s="100"/>
      <c r="E704" s="101"/>
      <c r="F704" s="100"/>
    </row>
    <row r="705" ht="12.75" customHeight="1">
      <c r="A705" s="100"/>
      <c r="B705" s="93"/>
      <c r="C705" s="41"/>
      <c r="D705" s="100"/>
      <c r="E705" s="101"/>
      <c r="F705" s="100"/>
    </row>
    <row r="706" ht="12.75" customHeight="1">
      <c r="A706" s="100"/>
      <c r="B706" s="93"/>
      <c r="C706" s="41"/>
      <c r="D706" s="100"/>
      <c r="E706" s="101"/>
      <c r="F706" s="100"/>
    </row>
    <row r="707" ht="12.75" customHeight="1">
      <c r="A707" s="100"/>
      <c r="B707" s="93"/>
      <c r="C707" s="41"/>
      <c r="D707" s="100"/>
      <c r="E707" s="101"/>
      <c r="F707" s="100"/>
    </row>
    <row r="708" ht="12.75" customHeight="1">
      <c r="A708" s="100"/>
      <c r="B708" s="93"/>
      <c r="C708" s="41"/>
      <c r="D708" s="100"/>
      <c r="E708" s="101"/>
      <c r="F708" s="100"/>
    </row>
    <row r="709" ht="12.75" customHeight="1">
      <c r="A709" s="100"/>
      <c r="B709" s="93"/>
      <c r="C709" s="41"/>
      <c r="D709" s="100"/>
      <c r="E709" s="101"/>
      <c r="F709" s="100"/>
    </row>
    <row r="710" ht="12.75" customHeight="1">
      <c r="A710" s="100"/>
      <c r="B710" s="93"/>
      <c r="C710" s="41"/>
      <c r="D710" s="100"/>
      <c r="E710" s="101"/>
      <c r="F710" s="100"/>
    </row>
    <row r="711" ht="12.75" customHeight="1">
      <c r="A711" s="100"/>
      <c r="B711" s="93"/>
      <c r="C711" s="41"/>
      <c r="D711" s="100"/>
      <c r="E711" s="101"/>
      <c r="F711" s="100"/>
    </row>
    <row r="712" ht="12.75" customHeight="1">
      <c r="A712" s="100"/>
      <c r="B712" s="93"/>
      <c r="C712" s="41"/>
      <c r="D712" s="100"/>
      <c r="E712" s="101"/>
      <c r="F712" s="100"/>
    </row>
    <row r="713" ht="12.75" customHeight="1">
      <c r="A713" s="100"/>
      <c r="B713" s="93"/>
      <c r="C713" s="41"/>
      <c r="D713" s="100"/>
      <c r="E713" s="101"/>
      <c r="F713" s="100"/>
    </row>
    <row r="714" ht="12.75" customHeight="1">
      <c r="A714" s="100"/>
      <c r="B714" s="93"/>
      <c r="C714" s="41"/>
      <c r="D714" s="100"/>
      <c r="E714" s="101"/>
      <c r="F714" s="100"/>
    </row>
    <row r="715" ht="12.75" customHeight="1">
      <c r="A715" s="100"/>
      <c r="B715" s="93"/>
      <c r="C715" s="41"/>
      <c r="D715" s="100"/>
      <c r="E715" s="101"/>
      <c r="F715" s="100"/>
    </row>
    <row r="716" ht="12.75" customHeight="1">
      <c r="A716" s="100"/>
      <c r="B716" s="93"/>
      <c r="C716" s="41"/>
      <c r="D716" s="100"/>
      <c r="E716" s="101"/>
      <c r="F716" s="100"/>
    </row>
    <row r="717" ht="12.75" customHeight="1">
      <c r="A717" s="100"/>
      <c r="B717" s="93"/>
      <c r="C717" s="41"/>
      <c r="D717" s="100"/>
      <c r="E717" s="101"/>
      <c r="F717" s="100"/>
    </row>
    <row r="718" ht="12.75" customHeight="1">
      <c r="A718" s="100"/>
      <c r="B718" s="93"/>
      <c r="C718" s="41"/>
      <c r="D718" s="100"/>
      <c r="E718" s="101"/>
      <c r="F718" s="100"/>
    </row>
    <row r="719" ht="12.75" customHeight="1">
      <c r="A719" s="100"/>
      <c r="B719" s="93"/>
      <c r="C719" s="41"/>
      <c r="D719" s="100"/>
      <c r="E719" s="101"/>
      <c r="F719" s="100"/>
    </row>
    <row r="720" ht="12.75" customHeight="1">
      <c r="A720" s="100"/>
      <c r="B720" s="93"/>
      <c r="C720" s="41"/>
      <c r="D720" s="100"/>
      <c r="E720" s="101"/>
      <c r="F720" s="100"/>
    </row>
    <row r="721" ht="12.75" customHeight="1">
      <c r="A721" s="100"/>
      <c r="B721" s="93"/>
      <c r="C721" s="41"/>
      <c r="D721" s="100"/>
      <c r="E721" s="101"/>
      <c r="F721" s="100"/>
    </row>
    <row r="722" ht="12.75" customHeight="1">
      <c r="A722" s="100"/>
      <c r="B722" s="93"/>
      <c r="C722" s="41"/>
      <c r="D722" s="100"/>
      <c r="E722" s="101"/>
      <c r="F722" s="100"/>
    </row>
    <row r="723" ht="12.75" customHeight="1">
      <c r="A723" s="100"/>
      <c r="B723" s="93"/>
      <c r="C723" s="41"/>
      <c r="D723" s="100"/>
      <c r="E723" s="101"/>
      <c r="F723" s="100"/>
    </row>
    <row r="724" ht="12.75" customHeight="1">
      <c r="A724" s="100"/>
      <c r="B724" s="93"/>
      <c r="C724" s="41"/>
      <c r="D724" s="100"/>
      <c r="E724" s="101"/>
      <c r="F724" s="100"/>
    </row>
    <row r="725" ht="12.75" customHeight="1">
      <c r="A725" s="100"/>
      <c r="B725" s="93"/>
      <c r="C725" s="41"/>
      <c r="D725" s="100"/>
      <c r="E725" s="101"/>
      <c r="F725" s="100"/>
    </row>
    <row r="726" ht="12.75" customHeight="1">
      <c r="A726" s="100"/>
      <c r="B726" s="93"/>
      <c r="C726" s="41"/>
      <c r="D726" s="100"/>
      <c r="E726" s="101"/>
      <c r="F726" s="100"/>
    </row>
    <row r="727" ht="12.75" customHeight="1">
      <c r="A727" s="100"/>
      <c r="B727" s="93"/>
      <c r="C727" s="41"/>
      <c r="D727" s="100"/>
      <c r="E727" s="101"/>
      <c r="F727" s="100"/>
    </row>
    <row r="728" ht="12.75" customHeight="1">
      <c r="A728" s="100"/>
      <c r="B728" s="93"/>
      <c r="C728" s="41"/>
      <c r="D728" s="100"/>
      <c r="E728" s="101"/>
      <c r="F728" s="100"/>
    </row>
    <row r="729" ht="12.75" customHeight="1">
      <c r="A729" s="100"/>
      <c r="B729" s="93"/>
      <c r="C729" s="41"/>
      <c r="D729" s="100"/>
      <c r="E729" s="101"/>
      <c r="F729" s="100"/>
    </row>
    <row r="730" ht="12.75" customHeight="1">
      <c r="A730" s="100"/>
      <c r="B730" s="93"/>
      <c r="C730" s="41"/>
      <c r="D730" s="100"/>
      <c r="E730" s="101"/>
      <c r="F730" s="100"/>
    </row>
    <row r="731" ht="12.75" customHeight="1">
      <c r="A731" s="100"/>
      <c r="B731" s="93"/>
      <c r="C731" s="41"/>
      <c r="D731" s="100"/>
      <c r="E731" s="101"/>
      <c r="F731" s="100"/>
    </row>
    <row r="732" ht="12.75" customHeight="1">
      <c r="A732" s="100"/>
      <c r="B732" s="93"/>
      <c r="C732" s="41"/>
      <c r="D732" s="100"/>
      <c r="E732" s="101"/>
      <c r="F732" s="100"/>
    </row>
    <row r="733" ht="12.75" customHeight="1">
      <c r="A733" s="100"/>
      <c r="B733" s="93"/>
      <c r="C733" s="41"/>
      <c r="D733" s="100"/>
      <c r="E733" s="101"/>
      <c r="F733" s="100"/>
    </row>
    <row r="734" ht="12.75" customHeight="1">
      <c r="A734" s="100"/>
      <c r="B734" s="93"/>
      <c r="C734" s="41"/>
      <c r="D734" s="100"/>
      <c r="E734" s="101"/>
      <c r="F734" s="100"/>
    </row>
    <row r="735" ht="12.75" customHeight="1">
      <c r="A735" s="100"/>
      <c r="B735" s="93"/>
      <c r="C735" s="41"/>
      <c r="D735" s="100"/>
      <c r="E735" s="101"/>
      <c r="F735" s="100"/>
    </row>
    <row r="736" ht="12.75" customHeight="1">
      <c r="A736" s="100"/>
      <c r="B736" s="93"/>
      <c r="C736" s="41"/>
      <c r="D736" s="100"/>
      <c r="E736" s="101"/>
      <c r="F736" s="100"/>
    </row>
    <row r="737" ht="12.75" customHeight="1">
      <c r="A737" s="100"/>
      <c r="B737" s="93"/>
      <c r="C737" s="41"/>
      <c r="D737" s="100"/>
      <c r="E737" s="101"/>
      <c r="F737" s="100"/>
    </row>
    <row r="738" ht="12.75" customHeight="1">
      <c r="A738" s="100"/>
      <c r="B738" s="93"/>
      <c r="C738" s="41"/>
      <c r="D738" s="100"/>
      <c r="E738" s="101"/>
      <c r="F738" s="100"/>
    </row>
    <row r="739" ht="12.75" customHeight="1">
      <c r="A739" s="100"/>
      <c r="B739" s="93"/>
      <c r="C739" s="41"/>
      <c r="D739" s="100"/>
      <c r="E739" s="101"/>
      <c r="F739" s="100"/>
    </row>
    <row r="740" ht="12.75" customHeight="1">
      <c r="A740" s="100"/>
      <c r="B740" s="93"/>
      <c r="C740" s="41"/>
      <c r="D740" s="100"/>
      <c r="E740" s="101"/>
      <c r="F740" s="100"/>
    </row>
    <row r="741" ht="12.75" customHeight="1">
      <c r="A741" s="100"/>
      <c r="B741" s="93"/>
      <c r="C741" s="41"/>
      <c r="D741" s="100"/>
      <c r="E741" s="101"/>
      <c r="F741" s="100"/>
    </row>
    <row r="742" ht="12.75" customHeight="1">
      <c r="A742" s="100"/>
      <c r="B742" s="93"/>
      <c r="C742" s="41"/>
      <c r="D742" s="100"/>
      <c r="E742" s="101"/>
      <c r="F742" s="100"/>
    </row>
    <row r="743" ht="12.75" customHeight="1">
      <c r="A743" s="100"/>
      <c r="B743" s="93"/>
      <c r="C743" s="41"/>
      <c r="D743" s="100"/>
      <c r="E743" s="101"/>
      <c r="F743" s="100"/>
    </row>
    <row r="744" ht="12.75" customHeight="1">
      <c r="A744" s="100"/>
      <c r="B744" s="93"/>
      <c r="C744" s="41"/>
      <c r="D744" s="100"/>
      <c r="E744" s="101"/>
      <c r="F744" s="100"/>
    </row>
    <row r="745" ht="12.75" customHeight="1">
      <c r="A745" s="100"/>
      <c r="B745" s="93"/>
      <c r="C745" s="41"/>
      <c r="D745" s="100"/>
      <c r="E745" s="101"/>
      <c r="F745" s="100"/>
    </row>
    <row r="746" ht="12.75" customHeight="1">
      <c r="A746" s="100"/>
      <c r="B746" s="93"/>
      <c r="C746" s="41"/>
      <c r="D746" s="100"/>
      <c r="E746" s="101"/>
      <c r="F746" s="100"/>
    </row>
    <row r="747" ht="12.75" customHeight="1">
      <c r="A747" s="100"/>
      <c r="B747" s="93"/>
      <c r="C747" s="41"/>
      <c r="D747" s="100"/>
      <c r="E747" s="101"/>
      <c r="F747" s="100"/>
    </row>
    <row r="748" ht="12.75" customHeight="1">
      <c r="A748" s="100"/>
      <c r="B748" s="93"/>
      <c r="C748" s="41"/>
      <c r="D748" s="100"/>
      <c r="E748" s="101"/>
      <c r="F748" s="100"/>
    </row>
    <row r="749" ht="12.75" customHeight="1">
      <c r="A749" s="100"/>
      <c r="B749" s="93"/>
      <c r="C749" s="41"/>
      <c r="D749" s="100"/>
      <c r="E749" s="101"/>
      <c r="F749" s="100"/>
    </row>
    <row r="750" ht="12.75" customHeight="1">
      <c r="A750" s="100"/>
      <c r="B750" s="93"/>
      <c r="C750" s="41"/>
      <c r="D750" s="100"/>
      <c r="E750" s="101"/>
      <c r="F750" s="100"/>
    </row>
    <row r="751" ht="12.75" customHeight="1">
      <c r="A751" s="100"/>
      <c r="B751" s="93"/>
      <c r="C751" s="41"/>
      <c r="D751" s="100"/>
      <c r="E751" s="101"/>
      <c r="F751" s="100"/>
    </row>
    <row r="752" ht="12.75" customHeight="1">
      <c r="A752" s="100"/>
      <c r="B752" s="93"/>
      <c r="C752" s="41"/>
      <c r="D752" s="100"/>
      <c r="E752" s="101"/>
      <c r="F752" s="100"/>
    </row>
    <row r="753" ht="12.75" customHeight="1">
      <c r="A753" s="100"/>
      <c r="B753" s="93"/>
      <c r="C753" s="41"/>
      <c r="D753" s="100"/>
      <c r="E753" s="101"/>
      <c r="F753" s="100"/>
    </row>
    <row r="754" ht="12.75" customHeight="1">
      <c r="A754" s="100"/>
      <c r="B754" s="93"/>
      <c r="C754" s="41"/>
      <c r="D754" s="100"/>
      <c r="E754" s="101"/>
      <c r="F754" s="100"/>
    </row>
    <row r="755" ht="12.75" customHeight="1">
      <c r="A755" s="100"/>
      <c r="B755" s="93"/>
      <c r="C755" s="41"/>
      <c r="D755" s="100"/>
      <c r="E755" s="101"/>
      <c r="F755" s="100"/>
    </row>
    <row r="756" ht="12.75" customHeight="1">
      <c r="A756" s="100"/>
      <c r="B756" s="93"/>
      <c r="C756" s="41"/>
      <c r="D756" s="100"/>
      <c r="E756" s="101"/>
      <c r="F756" s="100"/>
    </row>
    <row r="757" ht="12.75" customHeight="1">
      <c r="A757" s="100"/>
      <c r="B757" s="93"/>
      <c r="C757" s="41"/>
      <c r="D757" s="100"/>
      <c r="E757" s="101"/>
      <c r="F757" s="100"/>
    </row>
    <row r="758" ht="12.75" customHeight="1">
      <c r="A758" s="100"/>
      <c r="B758" s="93"/>
      <c r="C758" s="41"/>
      <c r="D758" s="100"/>
      <c r="E758" s="101"/>
      <c r="F758" s="100"/>
    </row>
    <row r="759" ht="12.75" customHeight="1">
      <c r="A759" s="100"/>
      <c r="B759" s="93"/>
      <c r="C759" s="41"/>
      <c r="D759" s="100"/>
      <c r="E759" s="101"/>
      <c r="F759" s="100"/>
    </row>
    <row r="760" ht="12.75" customHeight="1">
      <c r="A760" s="100"/>
      <c r="B760" s="93"/>
      <c r="C760" s="41"/>
      <c r="D760" s="100"/>
      <c r="E760" s="101"/>
      <c r="F760" s="100"/>
    </row>
    <row r="761" ht="12.75" customHeight="1">
      <c r="A761" s="100"/>
      <c r="B761" s="93"/>
      <c r="C761" s="41"/>
      <c r="D761" s="100"/>
      <c r="E761" s="101"/>
      <c r="F761" s="100"/>
    </row>
    <row r="762" ht="12.75" customHeight="1">
      <c r="A762" s="100"/>
      <c r="B762" s="93"/>
      <c r="C762" s="41"/>
      <c r="D762" s="100"/>
      <c r="E762" s="101"/>
      <c r="F762" s="100"/>
    </row>
    <row r="763" ht="12.75" customHeight="1">
      <c r="A763" s="100"/>
      <c r="B763" s="93"/>
      <c r="C763" s="41"/>
      <c r="D763" s="100"/>
      <c r="E763" s="101"/>
      <c r="F763" s="100"/>
    </row>
    <row r="764" ht="12.75" customHeight="1">
      <c r="A764" s="100"/>
      <c r="B764" s="93"/>
      <c r="C764" s="41"/>
      <c r="D764" s="100"/>
      <c r="E764" s="101"/>
      <c r="F764" s="100"/>
    </row>
    <row r="765" ht="12.75" customHeight="1">
      <c r="A765" s="100"/>
      <c r="B765" s="93"/>
      <c r="C765" s="41"/>
      <c r="D765" s="100"/>
      <c r="E765" s="101"/>
      <c r="F765" s="100"/>
    </row>
    <row r="766" ht="12.75" customHeight="1">
      <c r="A766" s="100"/>
      <c r="B766" s="93"/>
      <c r="C766" s="41"/>
      <c r="D766" s="100"/>
      <c r="E766" s="101"/>
      <c r="F766" s="100"/>
    </row>
    <row r="767" ht="12.75" customHeight="1">
      <c r="A767" s="100"/>
      <c r="B767" s="93"/>
      <c r="C767" s="41"/>
      <c r="D767" s="100"/>
      <c r="E767" s="101"/>
      <c r="F767" s="100"/>
    </row>
    <row r="768" ht="12.75" customHeight="1">
      <c r="A768" s="100"/>
      <c r="B768" s="93"/>
      <c r="C768" s="41"/>
      <c r="D768" s="100"/>
      <c r="E768" s="101"/>
      <c r="F768" s="100"/>
    </row>
    <row r="769" ht="12.75" customHeight="1">
      <c r="A769" s="100"/>
      <c r="B769" s="93"/>
      <c r="C769" s="41"/>
      <c r="D769" s="100"/>
      <c r="E769" s="101"/>
      <c r="F769" s="100"/>
    </row>
    <row r="770" ht="12.75" customHeight="1">
      <c r="A770" s="100"/>
      <c r="B770" s="93"/>
      <c r="C770" s="41"/>
      <c r="D770" s="100"/>
      <c r="E770" s="101"/>
      <c r="F770" s="100"/>
    </row>
    <row r="771" ht="12.75" customHeight="1">
      <c r="A771" s="100"/>
      <c r="B771" s="93"/>
      <c r="C771" s="41"/>
      <c r="D771" s="100"/>
      <c r="E771" s="101"/>
      <c r="F771" s="100"/>
    </row>
    <row r="772" ht="12.75" customHeight="1">
      <c r="A772" s="100"/>
      <c r="B772" s="93"/>
      <c r="C772" s="41"/>
      <c r="D772" s="100"/>
      <c r="E772" s="101"/>
      <c r="F772" s="100"/>
    </row>
    <row r="773" ht="12.75" customHeight="1">
      <c r="A773" s="100"/>
      <c r="B773" s="93"/>
      <c r="C773" s="41"/>
      <c r="D773" s="100"/>
      <c r="E773" s="101"/>
      <c r="F773" s="100"/>
    </row>
    <row r="774" ht="12.75" customHeight="1">
      <c r="A774" s="100"/>
      <c r="B774" s="93"/>
      <c r="C774" s="41"/>
      <c r="D774" s="100"/>
      <c r="E774" s="101"/>
      <c r="F774" s="100"/>
    </row>
    <row r="775" ht="12.75" customHeight="1">
      <c r="A775" s="100"/>
      <c r="B775" s="93"/>
      <c r="C775" s="41"/>
      <c r="D775" s="100"/>
      <c r="E775" s="101"/>
      <c r="F775" s="100"/>
    </row>
    <row r="776" ht="12.75" customHeight="1">
      <c r="A776" s="100"/>
      <c r="B776" s="93"/>
      <c r="C776" s="41"/>
      <c r="D776" s="100"/>
      <c r="E776" s="101"/>
      <c r="F776" s="100"/>
    </row>
    <row r="777" ht="12.75" customHeight="1">
      <c r="A777" s="100"/>
      <c r="B777" s="93"/>
      <c r="C777" s="41"/>
      <c r="D777" s="100"/>
      <c r="E777" s="101"/>
      <c r="F777" s="100"/>
    </row>
    <row r="778" ht="12.75" customHeight="1">
      <c r="A778" s="100"/>
      <c r="B778" s="93"/>
      <c r="C778" s="41"/>
      <c r="D778" s="100"/>
      <c r="E778" s="101"/>
      <c r="F778" s="100"/>
    </row>
    <row r="779" ht="12.75" customHeight="1">
      <c r="A779" s="100"/>
      <c r="B779" s="93"/>
      <c r="C779" s="41"/>
      <c r="D779" s="100"/>
      <c r="E779" s="101"/>
      <c r="F779" s="100"/>
    </row>
    <row r="780" ht="12.75" customHeight="1">
      <c r="A780" s="100"/>
      <c r="B780" s="93"/>
      <c r="C780" s="41"/>
      <c r="D780" s="100"/>
      <c r="E780" s="101"/>
      <c r="F780" s="100"/>
    </row>
    <row r="781" ht="12.75" customHeight="1">
      <c r="A781" s="100"/>
      <c r="B781" s="93"/>
      <c r="C781" s="41"/>
      <c r="D781" s="100"/>
      <c r="E781" s="101"/>
      <c r="F781" s="100"/>
    </row>
    <row r="782" ht="12.75" customHeight="1">
      <c r="A782" s="100"/>
      <c r="B782" s="93"/>
      <c r="C782" s="41"/>
      <c r="D782" s="100"/>
      <c r="E782" s="101"/>
      <c r="F782" s="100"/>
    </row>
    <row r="783" ht="12.75" customHeight="1">
      <c r="A783" s="100"/>
      <c r="B783" s="93"/>
      <c r="C783" s="41"/>
      <c r="D783" s="100"/>
      <c r="E783" s="101"/>
      <c r="F783" s="100"/>
    </row>
    <row r="784" ht="12.75" customHeight="1">
      <c r="A784" s="100"/>
      <c r="B784" s="93"/>
      <c r="C784" s="41"/>
      <c r="D784" s="100"/>
      <c r="E784" s="101"/>
      <c r="F784" s="100"/>
    </row>
    <row r="785" ht="12.75" customHeight="1">
      <c r="A785" s="100"/>
      <c r="B785" s="93"/>
      <c r="C785" s="41"/>
      <c r="D785" s="100"/>
      <c r="E785" s="101"/>
      <c r="F785" s="100"/>
    </row>
    <row r="786" ht="12.75" customHeight="1">
      <c r="A786" s="100"/>
      <c r="B786" s="93"/>
      <c r="C786" s="41"/>
      <c r="D786" s="100"/>
      <c r="E786" s="101"/>
      <c r="F786" s="100"/>
    </row>
    <row r="787" ht="12.75" customHeight="1">
      <c r="A787" s="100"/>
      <c r="B787" s="93"/>
      <c r="C787" s="41"/>
      <c r="D787" s="100"/>
      <c r="E787" s="101"/>
      <c r="F787" s="100"/>
    </row>
    <row r="788" ht="12.75" customHeight="1">
      <c r="A788" s="100"/>
      <c r="B788" s="93"/>
      <c r="C788" s="41"/>
      <c r="D788" s="100"/>
      <c r="E788" s="101"/>
      <c r="F788" s="100"/>
    </row>
    <row r="789" ht="12.75" customHeight="1">
      <c r="A789" s="100"/>
      <c r="B789" s="93"/>
      <c r="C789" s="41"/>
      <c r="D789" s="100"/>
      <c r="E789" s="101"/>
      <c r="F789" s="100"/>
    </row>
    <row r="790" ht="12.75" customHeight="1">
      <c r="A790" s="100"/>
      <c r="B790" s="93"/>
      <c r="C790" s="41"/>
      <c r="D790" s="100"/>
      <c r="E790" s="101"/>
      <c r="F790" s="100"/>
    </row>
    <row r="791" ht="12.75" customHeight="1">
      <c r="A791" s="100"/>
      <c r="B791" s="93"/>
      <c r="C791" s="41"/>
      <c r="D791" s="100"/>
      <c r="E791" s="101"/>
      <c r="F791" s="100"/>
    </row>
    <row r="792" ht="12.75" customHeight="1">
      <c r="A792" s="100"/>
      <c r="B792" s="93"/>
      <c r="C792" s="41"/>
      <c r="D792" s="100"/>
      <c r="E792" s="101"/>
      <c r="F792" s="100"/>
    </row>
    <row r="793" ht="12.75" customHeight="1">
      <c r="A793" s="100"/>
      <c r="B793" s="93"/>
      <c r="C793" s="41"/>
      <c r="D793" s="100"/>
      <c r="E793" s="101"/>
      <c r="F793" s="100"/>
    </row>
    <row r="794" ht="12.75" customHeight="1">
      <c r="A794" s="100"/>
      <c r="B794" s="93"/>
      <c r="C794" s="41"/>
      <c r="D794" s="100"/>
      <c r="E794" s="101"/>
      <c r="F794" s="100"/>
    </row>
    <row r="795" ht="12.75" customHeight="1">
      <c r="A795" s="100"/>
      <c r="B795" s="93"/>
      <c r="C795" s="41"/>
      <c r="D795" s="100"/>
      <c r="E795" s="101"/>
      <c r="F795" s="100"/>
    </row>
    <row r="796" ht="12.75" customHeight="1">
      <c r="A796" s="100"/>
      <c r="B796" s="93"/>
      <c r="C796" s="41"/>
      <c r="D796" s="100"/>
      <c r="E796" s="101"/>
      <c r="F796" s="100"/>
    </row>
    <row r="797" ht="12.75" customHeight="1">
      <c r="A797" s="100"/>
      <c r="B797" s="93"/>
      <c r="C797" s="41"/>
      <c r="D797" s="100"/>
      <c r="E797" s="101"/>
      <c r="F797" s="100"/>
    </row>
    <row r="798" ht="12.75" customHeight="1">
      <c r="A798" s="100"/>
      <c r="B798" s="93"/>
      <c r="C798" s="41"/>
      <c r="D798" s="100"/>
      <c r="E798" s="101"/>
      <c r="F798" s="100"/>
    </row>
    <row r="799" ht="12.75" customHeight="1">
      <c r="A799" s="100"/>
      <c r="B799" s="93"/>
      <c r="C799" s="41"/>
      <c r="D799" s="100"/>
      <c r="E799" s="101"/>
      <c r="F799" s="100"/>
    </row>
    <row r="800" ht="12.75" customHeight="1">
      <c r="A800" s="100"/>
      <c r="B800" s="93"/>
      <c r="C800" s="41"/>
      <c r="D800" s="100"/>
      <c r="E800" s="101"/>
      <c r="F800" s="100"/>
    </row>
    <row r="801" ht="12.75" customHeight="1">
      <c r="A801" s="100"/>
      <c r="B801" s="93"/>
      <c r="C801" s="41"/>
      <c r="D801" s="100"/>
      <c r="E801" s="101"/>
      <c r="F801" s="100"/>
    </row>
    <row r="802" ht="12.75" customHeight="1">
      <c r="A802" s="100"/>
      <c r="B802" s="93"/>
      <c r="C802" s="41"/>
      <c r="D802" s="100"/>
      <c r="E802" s="101"/>
      <c r="F802" s="100"/>
    </row>
    <row r="803" ht="12.75" customHeight="1">
      <c r="A803" s="100"/>
      <c r="B803" s="93"/>
      <c r="C803" s="41"/>
      <c r="D803" s="100"/>
      <c r="E803" s="101"/>
      <c r="F803" s="100"/>
    </row>
    <row r="804" ht="12.75" customHeight="1">
      <c r="A804" s="100"/>
      <c r="B804" s="93"/>
      <c r="C804" s="41"/>
      <c r="D804" s="100"/>
      <c r="E804" s="101"/>
      <c r="F804" s="100"/>
    </row>
    <row r="805" ht="12.75" customHeight="1">
      <c r="A805" s="100"/>
      <c r="B805" s="93"/>
      <c r="C805" s="41"/>
      <c r="D805" s="100"/>
      <c r="E805" s="101"/>
      <c r="F805" s="100"/>
    </row>
    <row r="806" ht="12.75" customHeight="1">
      <c r="A806" s="100"/>
      <c r="B806" s="93"/>
      <c r="C806" s="41"/>
      <c r="D806" s="100"/>
      <c r="E806" s="101"/>
      <c r="F806" s="100"/>
    </row>
    <row r="807" ht="12.75" customHeight="1">
      <c r="A807" s="100"/>
      <c r="B807" s="93"/>
      <c r="C807" s="41"/>
      <c r="D807" s="100"/>
      <c r="E807" s="101"/>
      <c r="F807" s="100"/>
    </row>
    <row r="808" ht="12.75" customHeight="1">
      <c r="A808" s="100"/>
      <c r="B808" s="93"/>
      <c r="C808" s="41"/>
      <c r="D808" s="100"/>
      <c r="E808" s="101"/>
      <c r="F808" s="100"/>
    </row>
    <row r="809" ht="12.75" customHeight="1">
      <c r="A809" s="100"/>
      <c r="B809" s="93"/>
      <c r="C809" s="41"/>
      <c r="D809" s="100"/>
      <c r="E809" s="101"/>
      <c r="F809" s="100"/>
    </row>
    <row r="810" ht="12.75" customHeight="1">
      <c r="A810" s="100"/>
      <c r="B810" s="93"/>
      <c r="C810" s="41"/>
      <c r="D810" s="100"/>
      <c r="E810" s="101"/>
      <c r="F810" s="100"/>
    </row>
    <row r="811" ht="12.75" customHeight="1">
      <c r="A811" s="100"/>
      <c r="B811" s="93"/>
      <c r="C811" s="41"/>
      <c r="D811" s="100"/>
      <c r="E811" s="101"/>
      <c r="F811" s="100"/>
    </row>
    <row r="812" ht="12.75" customHeight="1">
      <c r="A812" s="100"/>
      <c r="B812" s="93"/>
      <c r="C812" s="41"/>
      <c r="D812" s="100"/>
      <c r="E812" s="101"/>
      <c r="F812" s="100"/>
    </row>
    <row r="813" ht="12.75" customHeight="1">
      <c r="A813" s="100"/>
      <c r="B813" s="93"/>
      <c r="C813" s="41"/>
      <c r="D813" s="100"/>
      <c r="E813" s="101"/>
      <c r="F813" s="100"/>
    </row>
    <row r="814" ht="12.75" customHeight="1">
      <c r="A814" s="100"/>
      <c r="B814" s="93"/>
      <c r="C814" s="41"/>
      <c r="D814" s="100"/>
      <c r="E814" s="101"/>
      <c r="F814" s="100"/>
    </row>
    <row r="815" ht="12.75" customHeight="1">
      <c r="A815" s="100"/>
      <c r="B815" s="93"/>
      <c r="C815" s="41"/>
      <c r="D815" s="100"/>
      <c r="E815" s="101"/>
      <c r="F815" s="100"/>
    </row>
    <row r="816" ht="12.75" customHeight="1">
      <c r="A816" s="100"/>
      <c r="B816" s="93"/>
      <c r="C816" s="41"/>
      <c r="D816" s="100"/>
      <c r="E816" s="101"/>
      <c r="F816" s="100"/>
    </row>
    <row r="817" ht="12.75" customHeight="1">
      <c r="A817" s="100"/>
      <c r="B817" s="93"/>
      <c r="C817" s="41"/>
      <c r="D817" s="100"/>
      <c r="E817" s="101"/>
      <c r="F817" s="100"/>
    </row>
    <row r="818" ht="12.75" customHeight="1">
      <c r="A818" s="100"/>
      <c r="B818" s="93"/>
      <c r="C818" s="41"/>
      <c r="D818" s="100"/>
      <c r="E818" s="101"/>
      <c r="F818" s="100"/>
    </row>
    <row r="819" ht="12.75" customHeight="1">
      <c r="A819" s="100"/>
      <c r="B819" s="93"/>
      <c r="C819" s="41"/>
      <c r="D819" s="100"/>
      <c r="E819" s="101"/>
      <c r="F819" s="100"/>
    </row>
    <row r="820" ht="12.75" customHeight="1">
      <c r="A820" s="100"/>
      <c r="B820" s="93"/>
      <c r="C820" s="41"/>
      <c r="D820" s="100"/>
      <c r="E820" s="101"/>
      <c r="F820" s="100"/>
    </row>
    <row r="821" ht="12.75" customHeight="1">
      <c r="A821" s="100"/>
      <c r="B821" s="93"/>
      <c r="C821" s="41"/>
      <c r="D821" s="100"/>
      <c r="E821" s="101"/>
      <c r="F821" s="100"/>
    </row>
    <row r="822" ht="12.75" customHeight="1">
      <c r="A822" s="100"/>
      <c r="B822" s="93"/>
      <c r="C822" s="41"/>
      <c r="D822" s="100"/>
      <c r="E822" s="101"/>
      <c r="F822" s="100"/>
    </row>
    <row r="823" ht="12.75" customHeight="1">
      <c r="A823" s="100"/>
      <c r="B823" s="93"/>
      <c r="C823" s="41"/>
      <c r="D823" s="100"/>
      <c r="E823" s="101"/>
      <c r="F823" s="100"/>
    </row>
    <row r="824" ht="12.75" customHeight="1">
      <c r="A824" s="100"/>
      <c r="B824" s="93"/>
      <c r="C824" s="41"/>
      <c r="D824" s="100"/>
      <c r="E824" s="101"/>
      <c r="F824" s="100"/>
    </row>
    <row r="825" ht="12.75" customHeight="1">
      <c r="A825" s="100"/>
      <c r="B825" s="93"/>
      <c r="C825" s="41"/>
      <c r="D825" s="100"/>
      <c r="E825" s="101"/>
      <c r="F825" s="100"/>
    </row>
    <row r="826" ht="12.75" customHeight="1">
      <c r="A826" s="100"/>
      <c r="B826" s="93"/>
      <c r="C826" s="41"/>
      <c r="D826" s="100"/>
      <c r="E826" s="101"/>
      <c r="F826" s="100"/>
    </row>
    <row r="827" ht="12.75" customHeight="1">
      <c r="A827" s="100"/>
      <c r="B827" s="93"/>
      <c r="C827" s="41"/>
      <c r="D827" s="100"/>
      <c r="E827" s="101"/>
      <c r="F827" s="100"/>
    </row>
    <row r="828" ht="12.75" customHeight="1">
      <c r="A828" s="100"/>
      <c r="B828" s="93"/>
      <c r="C828" s="41"/>
      <c r="D828" s="100"/>
      <c r="E828" s="101"/>
      <c r="F828" s="100"/>
    </row>
    <row r="829" ht="12.75" customHeight="1">
      <c r="A829" s="100"/>
      <c r="B829" s="93"/>
      <c r="C829" s="41"/>
      <c r="D829" s="100"/>
      <c r="E829" s="101"/>
      <c r="F829" s="100"/>
    </row>
    <row r="830" ht="12.75" customHeight="1">
      <c r="A830" s="100"/>
      <c r="B830" s="93"/>
      <c r="C830" s="41"/>
      <c r="D830" s="100"/>
      <c r="E830" s="101"/>
      <c r="F830" s="100"/>
    </row>
    <row r="831" ht="12.75" customHeight="1">
      <c r="A831" s="100"/>
      <c r="B831" s="93"/>
      <c r="C831" s="41"/>
      <c r="D831" s="100"/>
      <c r="E831" s="101"/>
      <c r="F831" s="100"/>
    </row>
    <row r="832" ht="12.75" customHeight="1">
      <c r="A832" s="100"/>
      <c r="B832" s="93"/>
      <c r="C832" s="41"/>
      <c r="D832" s="100"/>
      <c r="E832" s="101"/>
      <c r="F832" s="100"/>
    </row>
    <row r="833" ht="12.75" customHeight="1">
      <c r="A833" s="100"/>
      <c r="B833" s="93"/>
      <c r="C833" s="41"/>
      <c r="D833" s="100"/>
      <c r="E833" s="101"/>
      <c r="F833" s="100"/>
    </row>
    <row r="834" ht="12.75" customHeight="1">
      <c r="A834" s="100"/>
      <c r="B834" s="93"/>
      <c r="C834" s="41"/>
      <c r="D834" s="100"/>
      <c r="E834" s="101"/>
      <c r="F834" s="100"/>
    </row>
    <row r="835" ht="12.75" customHeight="1">
      <c r="A835" s="100"/>
      <c r="B835" s="93"/>
      <c r="C835" s="41"/>
      <c r="D835" s="100"/>
      <c r="E835" s="101"/>
      <c r="F835" s="100"/>
    </row>
    <row r="836" ht="12.75" customHeight="1">
      <c r="A836" s="100"/>
      <c r="B836" s="93"/>
      <c r="C836" s="41"/>
      <c r="D836" s="100"/>
      <c r="E836" s="101"/>
      <c r="F836" s="100"/>
    </row>
    <row r="837" ht="12.75" customHeight="1">
      <c r="A837" s="100"/>
      <c r="B837" s="93"/>
      <c r="C837" s="41"/>
      <c r="D837" s="100"/>
      <c r="E837" s="101"/>
      <c r="F837" s="100"/>
    </row>
    <row r="838" ht="12.75" customHeight="1">
      <c r="A838" s="100"/>
      <c r="B838" s="93"/>
      <c r="C838" s="41"/>
      <c r="D838" s="100"/>
      <c r="E838" s="101"/>
      <c r="F838" s="100"/>
    </row>
    <row r="839" ht="12.75" customHeight="1">
      <c r="A839" s="100"/>
      <c r="B839" s="93"/>
      <c r="C839" s="41"/>
      <c r="D839" s="100"/>
      <c r="E839" s="101"/>
      <c r="F839" s="100"/>
    </row>
    <row r="840" ht="12.75" customHeight="1">
      <c r="A840" s="100"/>
      <c r="B840" s="93"/>
      <c r="C840" s="41"/>
      <c r="D840" s="100"/>
      <c r="E840" s="101"/>
      <c r="F840" s="100"/>
    </row>
    <row r="841" ht="12.75" customHeight="1">
      <c r="A841" s="100"/>
      <c r="B841" s="93"/>
      <c r="C841" s="41"/>
      <c r="D841" s="100"/>
      <c r="E841" s="101"/>
      <c r="F841" s="100"/>
    </row>
    <row r="842" ht="12.75" customHeight="1">
      <c r="A842" s="100"/>
      <c r="B842" s="93"/>
      <c r="C842" s="41"/>
      <c r="D842" s="100"/>
      <c r="E842" s="101"/>
      <c r="F842" s="100"/>
    </row>
    <row r="843" ht="12.75" customHeight="1">
      <c r="A843" s="100"/>
      <c r="B843" s="93"/>
      <c r="C843" s="41"/>
      <c r="D843" s="100"/>
      <c r="E843" s="101"/>
      <c r="F843" s="100"/>
    </row>
    <row r="844" ht="12.75" customHeight="1">
      <c r="A844" s="100"/>
      <c r="B844" s="93"/>
      <c r="C844" s="41"/>
      <c r="D844" s="100"/>
      <c r="E844" s="101"/>
      <c r="F844" s="100"/>
    </row>
    <row r="845" ht="12.75" customHeight="1">
      <c r="A845" s="100"/>
      <c r="B845" s="93"/>
      <c r="C845" s="41"/>
      <c r="D845" s="100"/>
      <c r="E845" s="101"/>
      <c r="F845" s="100"/>
    </row>
    <row r="846" ht="12.75" customHeight="1">
      <c r="A846" s="100"/>
      <c r="B846" s="93"/>
      <c r="C846" s="41"/>
      <c r="D846" s="100"/>
      <c r="E846" s="101"/>
      <c r="F846" s="100"/>
    </row>
    <row r="847" ht="12.75" customHeight="1">
      <c r="A847" s="100"/>
      <c r="B847" s="93"/>
      <c r="C847" s="41"/>
      <c r="D847" s="100"/>
      <c r="E847" s="101"/>
      <c r="F847" s="100"/>
    </row>
    <row r="848" ht="12.75" customHeight="1">
      <c r="A848" s="100"/>
      <c r="B848" s="93"/>
      <c r="C848" s="41"/>
      <c r="D848" s="100"/>
      <c r="E848" s="101"/>
      <c r="F848" s="100"/>
    </row>
    <row r="849" ht="12.75" customHeight="1">
      <c r="A849" s="100"/>
      <c r="B849" s="93"/>
      <c r="C849" s="41"/>
      <c r="D849" s="100"/>
      <c r="E849" s="101"/>
      <c r="F849" s="100"/>
    </row>
    <row r="850" ht="12.75" customHeight="1">
      <c r="A850" s="100"/>
      <c r="B850" s="93"/>
      <c r="C850" s="41"/>
      <c r="D850" s="100"/>
      <c r="E850" s="101"/>
      <c r="F850" s="100"/>
    </row>
    <row r="851" ht="12.75" customHeight="1">
      <c r="A851" s="100"/>
      <c r="B851" s="93"/>
      <c r="C851" s="41"/>
      <c r="D851" s="100"/>
      <c r="E851" s="101"/>
      <c r="F851" s="100"/>
    </row>
    <row r="852" ht="12.75" customHeight="1">
      <c r="A852" s="100"/>
      <c r="B852" s="93"/>
      <c r="C852" s="41"/>
      <c r="D852" s="100"/>
      <c r="E852" s="101"/>
      <c r="F852" s="100"/>
    </row>
    <row r="853" ht="12.75" customHeight="1">
      <c r="A853" s="100"/>
      <c r="B853" s="93"/>
      <c r="C853" s="41"/>
      <c r="D853" s="100"/>
      <c r="E853" s="101"/>
      <c r="F853" s="100"/>
    </row>
    <row r="854" ht="12.75" customHeight="1">
      <c r="A854" s="100"/>
      <c r="B854" s="93"/>
      <c r="C854" s="41"/>
      <c r="D854" s="100"/>
      <c r="E854" s="101"/>
      <c r="F854" s="100"/>
    </row>
    <row r="855" ht="12.75" customHeight="1">
      <c r="A855" s="100"/>
      <c r="B855" s="93"/>
      <c r="C855" s="41"/>
      <c r="D855" s="100"/>
      <c r="E855" s="101"/>
      <c r="F855" s="100"/>
    </row>
    <row r="856" ht="12.75" customHeight="1">
      <c r="A856" s="100"/>
      <c r="B856" s="93"/>
      <c r="C856" s="41"/>
      <c r="D856" s="100"/>
      <c r="E856" s="101"/>
      <c r="F856" s="100"/>
    </row>
    <row r="857" ht="12.75" customHeight="1">
      <c r="A857" s="100"/>
      <c r="B857" s="93"/>
      <c r="C857" s="41"/>
      <c r="D857" s="100"/>
      <c r="E857" s="101"/>
      <c r="F857" s="100"/>
    </row>
    <row r="858" ht="12.75" customHeight="1">
      <c r="A858" s="100"/>
      <c r="B858" s="93"/>
      <c r="C858" s="41"/>
      <c r="D858" s="100"/>
      <c r="E858" s="101"/>
      <c r="F858" s="100"/>
    </row>
    <row r="859" ht="12.75" customHeight="1">
      <c r="A859" s="100"/>
      <c r="B859" s="93"/>
      <c r="C859" s="41"/>
      <c r="D859" s="100"/>
      <c r="E859" s="101"/>
      <c r="F859" s="100"/>
    </row>
    <row r="860" ht="12.75" customHeight="1">
      <c r="A860" s="100"/>
      <c r="B860" s="93"/>
      <c r="C860" s="41"/>
      <c r="D860" s="100"/>
      <c r="E860" s="101"/>
      <c r="F860" s="100"/>
    </row>
    <row r="861" ht="12.75" customHeight="1">
      <c r="A861" s="100"/>
      <c r="B861" s="93"/>
      <c r="C861" s="41"/>
      <c r="D861" s="100"/>
      <c r="E861" s="101"/>
      <c r="F861" s="100"/>
    </row>
    <row r="862" ht="12.75" customHeight="1">
      <c r="A862" s="100"/>
      <c r="B862" s="93"/>
      <c r="C862" s="41"/>
      <c r="D862" s="100"/>
      <c r="E862" s="101"/>
      <c r="F862" s="100"/>
    </row>
    <row r="863" ht="12.75" customHeight="1">
      <c r="A863" s="100"/>
      <c r="B863" s="93"/>
      <c r="C863" s="41"/>
      <c r="D863" s="100"/>
      <c r="E863" s="101"/>
      <c r="F863" s="100"/>
    </row>
    <row r="864" ht="12.75" customHeight="1">
      <c r="A864" s="100"/>
      <c r="B864" s="93"/>
      <c r="C864" s="41"/>
      <c r="D864" s="100"/>
      <c r="E864" s="101"/>
      <c r="F864" s="100"/>
    </row>
    <row r="865" ht="12.75" customHeight="1">
      <c r="A865" s="100"/>
      <c r="B865" s="93"/>
      <c r="C865" s="41"/>
      <c r="D865" s="100"/>
      <c r="E865" s="101"/>
      <c r="F865" s="100"/>
    </row>
    <row r="866" ht="12.75" customHeight="1">
      <c r="A866" s="100"/>
      <c r="B866" s="93"/>
      <c r="C866" s="41"/>
      <c r="D866" s="100"/>
      <c r="E866" s="101"/>
      <c r="F866" s="100"/>
    </row>
    <row r="867" ht="12.75" customHeight="1">
      <c r="A867" s="100"/>
      <c r="B867" s="93"/>
      <c r="C867" s="41"/>
      <c r="D867" s="100"/>
      <c r="E867" s="101"/>
      <c r="F867" s="100"/>
    </row>
    <row r="868" ht="12.75" customHeight="1">
      <c r="A868" s="100"/>
      <c r="B868" s="93"/>
      <c r="C868" s="41"/>
      <c r="D868" s="100"/>
      <c r="E868" s="101"/>
      <c r="F868" s="100"/>
    </row>
    <row r="869" ht="12.75" customHeight="1">
      <c r="A869" s="100"/>
      <c r="B869" s="93"/>
      <c r="C869" s="41"/>
      <c r="D869" s="100"/>
      <c r="E869" s="101"/>
      <c r="F869" s="100"/>
    </row>
    <row r="870" ht="12.75" customHeight="1">
      <c r="A870" s="100"/>
      <c r="B870" s="93"/>
      <c r="C870" s="41"/>
      <c r="D870" s="100"/>
      <c r="E870" s="101"/>
      <c r="F870" s="100"/>
    </row>
    <row r="871" ht="12.75" customHeight="1">
      <c r="A871" s="100"/>
      <c r="B871" s="93"/>
      <c r="C871" s="41"/>
      <c r="D871" s="100"/>
      <c r="E871" s="101"/>
      <c r="F871" s="100"/>
    </row>
    <row r="872" ht="12.75" customHeight="1">
      <c r="A872" s="100"/>
      <c r="B872" s="93"/>
      <c r="C872" s="41"/>
      <c r="D872" s="100"/>
      <c r="E872" s="101"/>
      <c r="F872" s="100"/>
    </row>
    <row r="873" ht="12.75" customHeight="1">
      <c r="A873" s="100"/>
      <c r="B873" s="93"/>
      <c r="C873" s="41"/>
      <c r="D873" s="100"/>
      <c r="E873" s="101"/>
      <c r="F873" s="100"/>
    </row>
    <row r="874" ht="12.75" customHeight="1">
      <c r="A874" s="100"/>
      <c r="B874" s="93"/>
      <c r="C874" s="41"/>
      <c r="D874" s="100"/>
      <c r="E874" s="101"/>
      <c r="F874" s="100"/>
    </row>
    <row r="875" ht="12.75" customHeight="1">
      <c r="A875" s="100"/>
      <c r="B875" s="93"/>
      <c r="C875" s="41"/>
      <c r="D875" s="100"/>
      <c r="E875" s="101"/>
      <c r="F875" s="100"/>
    </row>
    <row r="876" ht="12.75" customHeight="1">
      <c r="A876" s="100"/>
      <c r="B876" s="93"/>
      <c r="C876" s="41"/>
      <c r="D876" s="100"/>
      <c r="E876" s="101"/>
      <c r="F876" s="100"/>
    </row>
    <row r="877" ht="12.75" customHeight="1">
      <c r="A877" s="100"/>
      <c r="B877" s="93"/>
      <c r="C877" s="41"/>
      <c r="D877" s="100"/>
      <c r="E877" s="101"/>
      <c r="F877" s="100"/>
    </row>
    <row r="878" ht="12.75" customHeight="1">
      <c r="A878" s="100"/>
      <c r="B878" s="93"/>
      <c r="C878" s="41"/>
      <c r="D878" s="100"/>
      <c r="E878" s="101"/>
      <c r="F878" s="100"/>
    </row>
    <row r="879" ht="12.75" customHeight="1">
      <c r="A879" s="100"/>
      <c r="B879" s="93"/>
      <c r="C879" s="41"/>
      <c r="D879" s="100"/>
      <c r="E879" s="101"/>
      <c r="F879" s="100"/>
    </row>
    <row r="880" ht="12.75" customHeight="1">
      <c r="A880" s="100"/>
      <c r="B880" s="93"/>
      <c r="C880" s="41"/>
      <c r="D880" s="100"/>
      <c r="E880" s="101"/>
      <c r="F880" s="100"/>
    </row>
    <row r="881" ht="12.75" customHeight="1">
      <c r="A881" s="100"/>
      <c r="B881" s="93"/>
      <c r="C881" s="41"/>
      <c r="D881" s="100"/>
      <c r="E881" s="101"/>
      <c r="F881" s="100"/>
    </row>
    <row r="882" ht="12.75" customHeight="1">
      <c r="A882" s="100"/>
      <c r="B882" s="93"/>
      <c r="C882" s="41"/>
      <c r="D882" s="100"/>
      <c r="E882" s="101"/>
      <c r="F882" s="100"/>
    </row>
    <row r="883" ht="12.75" customHeight="1">
      <c r="A883" s="100"/>
      <c r="B883" s="93"/>
      <c r="C883" s="41"/>
      <c r="D883" s="100"/>
      <c r="E883" s="101"/>
      <c r="F883" s="100"/>
    </row>
    <row r="884" ht="12.75" customHeight="1">
      <c r="A884" s="100"/>
      <c r="B884" s="93"/>
      <c r="C884" s="41"/>
      <c r="D884" s="100"/>
      <c r="E884" s="101"/>
      <c r="F884" s="100"/>
    </row>
    <row r="885" ht="12.75" customHeight="1">
      <c r="A885" s="100"/>
      <c r="B885" s="93"/>
      <c r="C885" s="41"/>
      <c r="D885" s="100"/>
      <c r="E885" s="101"/>
      <c r="F885" s="100"/>
    </row>
    <row r="886" ht="12.75" customHeight="1">
      <c r="A886" s="100"/>
      <c r="B886" s="93"/>
      <c r="C886" s="41"/>
      <c r="D886" s="100"/>
      <c r="E886" s="101"/>
      <c r="F886" s="100"/>
    </row>
    <row r="887" ht="12.75" customHeight="1">
      <c r="A887" s="100"/>
      <c r="B887" s="93"/>
      <c r="C887" s="41"/>
      <c r="D887" s="100"/>
      <c r="E887" s="101"/>
      <c r="F887" s="100"/>
    </row>
    <row r="888" ht="12.75" customHeight="1">
      <c r="A888" s="100"/>
      <c r="B888" s="93"/>
      <c r="C888" s="41"/>
      <c r="D888" s="100"/>
      <c r="E888" s="101"/>
      <c r="F888" s="100"/>
    </row>
    <row r="889" ht="12.75" customHeight="1">
      <c r="A889" s="100"/>
      <c r="B889" s="93"/>
      <c r="C889" s="41"/>
      <c r="D889" s="100"/>
      <c r="E889" s="101"/>
      <c r="F889" s="100"/>
    </row>
    <row r="890" ht="12.75" customHeight="1">
      <c r="A890" s="100"/>
      <c r="B890" s="93"/>
      <c r="C890" s="41"/>
      <c r="D890" s="100"/>
      <c r="E890" s="101"/>
      <c r="F890" s="100"/>
    </row>
    <row r="891" ht="12.75" customHeight="1">
      <c r="A891" s="100"/>
      <c r="B891" s="93"/>
      <c r="C891" s="41"/>
      <c r="D891" s="100"/>
      <c r="E891" s="101"/>
      <c r="F891" s="100"/>
    </row>
    <row r="892" ht="12.75" customHeight="1">
      <c r="A892" s="100"/>
      <c r="B892" s="93"/>
      <c r="C892" s="41"/>
      <c r="D892" s="100"/>
      <c r="E892" s="101"/>
      <c r="F892" s="100"/>
    </row>
    <row r="893" ht="12.75" customHeight="1">
      <c r="A893" s="100"/>
      <c r="B893" s="93"/>
      <c r="C893" s="41"/>
      <c r="D893" s="100"/>
      <c r="E893" s="101"/>
      <c r="F893" s="100"/>
    </row>
    <row r="894" ht="12.75" customHeight="1">
      <c r="A894" s="100"/>
      <c r="B894" s="93"/>
      <c r="C894" s="41"/>
      <c r="D894" s="100"/>
      <c r="E894" s="101"/>
      <c r="F894" s="100"/>
    </row>
    <row r="895" ht="12.75" customHeight="1">
      <c r="A895" s="100"/>
      <c r="B895" s="93"/>
      <c r="C895" s="41"/>
      <c r="D895" s="100"/>
      <c r="E895" s="101"/>
      <c r="F895" s="100"/>
    </row>
    <row r="896" ht="12.75" customHeight="1">
      <c r="A896" s="100"/>
      <c r="B896" s="93"/>
      <c r="C896" s="41"/>
      <c r="D896" s="100"/>
      <c r="E896" s="101"/>
      <c r="F896" s="100"/>
    </row>
    <row r="897" ht="12.75" customHeight="1">
      <c r="A897" s="100"/>
      <c r="B897" s="93"/>
      <c r="C897" s="41"/>
      <c r="D897" s="100"/>
      <c r="E897" s="101"/>
      <c r="F897" s="100"/>
    </row>
    <row r="898" ht="12.75" customHeight="1">
      <c r="A898" s="100"/>
      <c r="B898" s="93"/>
      <c r="C898" s="41"/>
      <c r="D898" s="100"/>
      <c r="E898" s="101"/>
      <c r="F898" s="100"/>
    </row>
    <row r="899" ht="12.75" customHeight="1">
      <c r="A899" s="100"/>
      <c r="B899" s="93"/>
      <c r="C899" s="41"/>
      <c r="D899" s="100"/>
      <c r="E899" s="101"/>
      <c r="F899" s="100"/>
    </row>
    <row r="900" ht="12.75" customHeight="1">
      <c r="A900" s="100"/>
      <c r="B900" s="93"/>
      <c r="C900" s="41"/>
      <c r="D900" s="100"/>
      <c r="E900" s="101"/>
      <c r="F900" s="100"/>
    </row>
    <row r="901" ht="12.75" customHeight="1">
      <c r="A901" s="100"/>
      <c r="B901" s="93"/>
      <c r="C901" s="41"/>
      <c r="D901" s="100"/>
      <c r="E901" s="101"/>
      <c r="F901" s="100"/>
    </row>
    <row r="902" ht="12.75" customHeight="1">
      <c r="A902" s="100"/>
      <c r="B902" s="93"/>
      <c r="C902" s="41"/>
      <c r="D902" s="100"/>
      <c r="E902" s="101"/>
      <c r="F902" s="100"/>
    </row>
    <row r="903" ht="12.75" customHeight="1">
      <c r="A903" s="100"/>
      <c r="B903" s="93"/>
      <c r="C903" s="41"/>
      <c r="D903" s="100"/>
      <c r="E903" s="101"/>
      <c r="F903" s="100"/>
    </row>
    <row r="904" ht="12.75" customHeight="1">
      <c r="A904" s="100"/>
      <c r="B904" s="93"/>
      <c r="C904" s="41"/>
      <c r="D904" s="100"/>
      <c r="E904" s="101"/>
      <c r="F904" s="100"/>
    </row>
    <row r="905" ht="12.75" customHeight="1">
      <c r="A905" s="100"/>
      <c r="B905" s="93"/>
      <c r="C905" s="41"/>
      <c r="D905" s="100"/>
      <c r="E905" s="101"/>
      <c r="F905" s="100"/>
    </row>
    <row r="906" ht="12.75" customHeight="1">
      <c r="A906" s="100"/>
      <c r="B906" s="93"/>
      <c r="C906" s="41"/>
      <c r="D906" s="100"/>
      <c r="E906" s="101"/>
      <c r="F906" s="100"/>
    </row>
    <row r="907" ht="12.75" customHeight="1">
      <c r="A907" s="100"/>
      <c r="B907" s="93"/>
      <c r="C907" s="41"/>
      <c r="D907" s="100"/>
      <c r="E907" s="101"/>
      <c r="F907" s="100"/>
    </row>
    <row r="908" ht="12.75" customHeight="1">
      <c r="A908" s="100"/>
      <c r="B908" s="93"/>
      <c r="C908" s="41"/>
      <c r="D908" s="100"/>
      <c r="E908" s="101"/>
      <c r="F908" s="100"/>
    </row>
    <row r="909" ht="12.75" customHeight="1">
      <c r="A909" s="100"/>
      <c r="B909" s="93"/>
      <c r="C909" s="41"/>
      <c r="D909" s="100"/>
      <c r="E909" s="101"/>
      <c r="F909" s="100"/>
    </row>
    <row r="910" ht="12.75" customHeight="1">
      <c r="A910" s="100"/>
      <c r="B910" s="93"/>
      <c r="C910" s="41"/>
      <c r="D910" s="100"/>
      <c r="E910" s="101"/>
      <c r="F910" s="100"/>
    </row>
    <row r="911" ht="12.75" customHeight="1">
      <c r="A911" s="100"/>
      <c r="B911" s="93"/>
      <c r="C911" s="41"/>
      <c r="D911" s="100"/>
      <c r="E911" s="101"/>
      <c r="F911" s="100"/>
    </row>
    <row r="912" ht="12.75" customHeight="1">
      <c r="A912" s="100"/>
      <c r="B912" s="93"/>
      <c r="C912" s="41"/>
      <c r="D912" s="100"/>
      <c r="E912" s="101"/>
      <c r="F912" s="100"/>
    </row>
    <row r="913" ht="12.75" customHeight="1">
      <c r="A913" s="100"/>
      <c r="B913" s="93"/>
      <c r="C913" s="41"/>
      <c r="D913" s="100"/>
      <c r="E913" s="101"/>
      <c r="F913" s="100"/>
    </row>
    <row r="914" ht="12.75" customHeight="1">
      <c r="A914" s="100"/>
      <c r="B914" s="93"/>
      <c r="C914" s="41"/>
      <c r="D914" s="100"/>
      <c r="E914" s="101"/>
      <c r="F914" s="100"/>
    </row>
    <row r="915" ht="12.75" customHeight="1">
      <c r="A915" s="100"/>
      <c r="B915" s="93"/>
      <c r="C915" s="41"/>
      <c r="D915" s="100"/>
      <c r="E915" s="101"/>
      <c r="F915" s="100"/>
    </row>
    <row r="916" ht="12.75" customHeight="1">
      <c r="A916" s="100"/>
      <c r="B916" s="93"/>
      <c r="C916" s="41"/>
      <c r="D916" s="100"/>
      <c r="E916" s="101"/>
      <c r="F916" s="100"/>
    </row>
    <row r="917" ht="12.75" customHeight="1">
      <c r="A917" s="100"/>
      <c r="B917" s="93"/>
      <c r="C917" s="41"/>
      <c r="D917" s="100"/>
      <c r="E917" s="101"/>
      <c r="F917" s="100"/>
    </row>
    <row r="918" ht="12.75" customHeight="1">
      <c r="A918" s="100"/>
      <c r="B918" s="93"/>
      <c r="C918" s="41"/>
      <c r="D918" s="100"/>
      <c r="E918" s="101"/>
      <c r="F918" s="100"/>
    </row>
    <row r="919" ht="12.75" customHeight="1">
      <c r="A919" s="100"/>
      <c r="B919" s="93"/>
      <c r="C919" s="41"/>
      <c r="D919" s="100"/>
      <c r="E919" s="101"/>
      <c r="F919" s="100"/>
    </row>
    <row r="920" ht="12.75" customHeight="1">
      <c r="A920" s="100"/>
      <c r="B920" s="93"/>
      <c r="C920" s="41"/>
      <c r="D920" s="100"/>
      <c r="E920" s="101"/>
      <c r="F920" s="100"/>
    </row>
    <row r="921" ht="12.75" customHeight="1">
      <c r="A921" s="100"/>
      <c r="B921" s="93"/>
      <c r="C921" s="41"/>
      <c r="D921" s="100"/>
      <c r="E921" s="101"/>
      <c r="F921" s="100"/>
    </row>
    <row r="922" ht="12.75" customHeight="1">
      <c r="A922" s="100"/>
      <c r="B922" s="93"/>
      <c r="C922" s="41"/>
      <c r="D922" s="100"/>
      <c r="E922" s="101"/>
      <c r="F922" s="100"/>
    </row>
    <row r="923" ht="12.75" customHeight="1">
      <c r="A923" s="100"/>
      <c r="B923" s="93"/>
      <c r="C923" s="41"/>
      <c r="D923" s="100"/>
      <c r="E923" s="101"/>
      <c r="F923" s="100"/>
    </row>
    <row r="924" ht="12.75" customHeight="1">
      <c r="A924" s="100"/>
      <c r="B924" s="93"/>
      <c r="C924" s="41"/>
      <c r="D924" s="100"/>
      <c r="E924" s="101"/>
      <c r="F924" s="100"/>
    </row>
    <row r="925" ht="12.75" customHeight="1">
      <c r="A925" s="100"/>
      <c r="B925" s="93"/>
      <c r="C925" s="41"/>
      <c r="D925" s="100"/>
      <c r="E925" s="101"/>
      <c r="F925" s="100"/>
    </row>
    <row r="926" ht="12.75" customHeight="1">
      <c r="A926" s="100"/>
      <c r="B926" s="93"/>
      <c r="C926" s="41"/>
      <c r="D926" s="100"/>
      <c r="E926" s="101"/>
      <c r="F926" s="100"/>
    </row>
    <row r="927" ht="12.75" customHeight="1">
      <c r="A927" s="100"/>
      <c r="B927" s="93"/>
      <c r="C927" s="41"/>
      <c r="D927" s="100"/>
      <c r="E927" s="101"/>
      <c r="F927" s="100"/>
    </row>
    <row r="928" ht="12.75" customHeight="1">
      <c r="A928" s="100"/>
      <c r="B928" s="93"/>
      <c r="C928" s="41"/>
      <c r="D928" s="100"/>
      <c r="E928" s="101"/>
      <c r="F928" s="100"/>
    </row>
    <row r="929" ht="12.75" customHeight="1">
      <c r="A929" s="100"/>
      <c r="B929" s="93"/>
      <c r="C929" s="41"/>
      <c r="D929" s="100"/>
      <c r="E929" s="101"/>
      <c r="F929" s="100"/>
    </row>
    <row r="930" ht="12.75" customHeight="1">
      <c r="A930" s="100"/>
      <c r="B930" s="93"/>
      <c r="C930" s="41"/>
      <c r="D930" s="100"/>
      <c r="E930" s="101"/>
      <c r="F930" s="100"/>
    </row>
    <row r="931" ht="12.75" customHeight="1">
      <c r="A931" s="100"/>
      <c r="B931" s="93"/>
      <c r="C931" s="41"/>
      <c r="D931" s="100"/>
      <c r="E931" s="101"/>
      <c r="F931" s="100"/>
    </row>
    <row r="932" ht="12.75" customHeight="1">
      <c r="A932" s="100"/>
      <c r="B932" s="93"/>
      <c r="C932" s="41"/>
      <c r="D932" s="100"/>
      <c r="E932" s="101"/>
      <c r="F932" s="100"/>
    </row>
    <row r="933" ht="12.75" customHeight="1">
      <c r="A933" s="100"/>
      <c r="B933" s="93"/>
      <c r="C933" s="41"/>
      <c r="D933" s="100"/>
      <c r="E933" s="101"/>
      <c r="F933" s="100"/>
    </row>
    <row r="934" ht="12.75" customHeight="1">
      <c r="A934" s="100"/>
      <c r="B934" s="93"/>
      <c r="C934" s="41"/>
      <c r="D934" s="100"/>
      <c r="E934" s="101"/>
      <c r="F934" s="100"/>
    </row>
    <row r="935" ht="12.75" customHeight="1">
      <c r="A935" s="100"/>
      <c r="B935" s="93"/>
      <c r="C935" s="41"/>
      <c r="D935" s="100"/>
      <c r="E935" s="101"/>
      <c r="F935" s="100"/>
    </row>
    <row r="936" ht="12.75" customHeight="1">
      <c r="A936" s="100"/>
      <c r="B936" s="93"/>
      <c r="C936" s="41"/>
      <c r="D936" s="100"/>
      <c r="E936" s="101"/>
      <c r="F936" s="100"/>
    </row>
    <row r="937" ht="12.75" customHeight="1">
      <c r="A937" s="100"/>
      <c r="B937" s="93"/>
      <c r="C937" s="41"/>
      <c r="D937" s="100"/>
      <c r="E937" s="101"/>
      <c r="F937" s="100"/>
    </row>
    <row r="938" ht="12.75" customHeight="1">
      <c r="A938" s="100"/>
      <c r="B938" s="93"/>
      <c r="C938" s="41"/>
      <c r="D938" s="100"/>
      <c r="E938" s="101"/>
      <c r="F938" s="100"/>
    </row>
    <row r="939" ht="12.75" customHeight="1">
      <c r="A939" s="100"/>
      <c r="B939" s="93"/>
      <c r="C939" s="41"/>
      <c r="D939" s="100"/>
      <c r="E939" s="101"/>
      <c r="F939" s="100"/>
    </row>
    <row r="940" ht="12.75" customHeight="1">
      <c r="A940" s="100"/>
      <c r="B940" s="93"/>
      <c r="C940" s="41"/>
      <c r="D940" s="100"/>
      <c r="E940" s="101"/>
      <c r="F940" s="100"/>
    </row>
    <row r="941" ht="12.75" customHeight="1">
      <c r="A941" s="100"/>
      <c r="B941" s="93"/>
      <c r="C941" s="41"/>
      <c r="D941" s="100"/>
      <c r="E941" s="101"/>
      <c r="F941" s="100"/>
    </row>
    <row r="942" ht="12.75" customHeight="1">
      <c r="A942" s="100"/>
      <c r="B942" s="93"/>
      <c r="C942" s="41"/>
      <c r="D942" s="100"/>
      <c r="E942" s="101"/>
      <c r="F942" s="100"/>
    </row>
    <row r="943" ht="12.75" customHeight="1">
      <c r="A943" s="100"/>
      <c r="B943" s="93"/>
      <c r="C943" s="41"/>
      <c r="D943" s="100"/>
      <c r="E943" s="101"/>
      <c r="F943" s="100"/>
    </row>
    <row r="944" ht="12.75" customHeight="1">
      <c r="A944" s="100"/>
      <c r="B944" s="93"/>
      <c r="C944" s="41"/>
      <c r="D944" s="100"/>
      <c r="E944" s="101"/>
      <c r="F944" s="100"/>
    </row>
    <row r="945" ht="12.75" customHeight="1">
      <c r="A945" s="100"/>
      <c r="B945" s="93"/>
      <c r="C945" s="41"/>
      <c r="D945" s="100"/>
      <c r="E945" s="101"/>
      <c r="F945" s="100"/>
    </row>
    <row r="946" ht="12.75" customHeight="1">
      <c r="A946" s="100"/>
      <c r="B946" s="93"/>
      <c r="C946" s="41"/>
      <c r="D946" s="100"/>
      <c r="E946" s="101"/>
      <c r="F946" s="100"/>
    </row>
    <row r="947" ht="12.75" customHeight="1">
      <c r="A947" s="100"/>
      <c r="B947" s="93"/>
      <c r="C947" s="41"/>
      <c r="D947" s="100"/>
      <c r="E947" s="101"/>
      <c r="F947" s="100"/>
    </row>
    <row r="948" ht="12.75" customHeight="1">
      <c r="A948" s="100"/>
      <c r="B948" s="93"/>
      <c r="C948" s="41"/>
      <c r="D948" s="100"/>
      <c r="E948" s="101"/>
      <c r="F948" s="100"/>
    </row>
    <row r="949" ht="12.75" customHeight="1">
      <c r="A949" s="100"/>
      <c r="B949" s="93"/>
      <c r="C949" s="41"/>
      <c r="D949" s="100"/>
      <c r="E949" s="101"/>
      <c r="F949" s="100"/>
    </row>
    <row r="950" ht="12.75" customHeight="1">
      <c r="A950" s="100"/>
      <c r="B950" s="93"/>
      <c r="C950" s="41"/>
      <c r="D950" s="100"/>
      <c r="E950" s="101"/>
      <c r="F950" s="100"/>
    </row>
    <row r="951" ht="12.75" customHeight="1">
      <c r="A951" s="100"/>
      <c r="B951" s="93"/>
      <c r="C951" s="41"/>
      <c r="D951" s="100"/>
      <c r="E951" s="101"/>
      <c r="F951" s="100"/>
    </row>
    <row r="952" ht="12.75" customHeight="1">
      <c r="A952" s="100"/>
      <c r="B952" s="93"/>
      <c r="C952" s="41"/>
      <c r="D952" s="100"/>
      <c r="E952" s="101"/>
      <c r="F952" s="100"/>
    </row>
    <row r="953" ht="12.75" customHeight="1">
      <c r="A953" s="100"/>
      <c r="B953" s="93"/>
      <c r="C953" s="41"/>
      <c r="D953" s="100"/>
      <c r="E953" s="101"/>
      <c r="F953" s="100"/>
    </row>
    <row r="954" ht="12.75" customHeight="1">
      <c r="A954" s="100"/>
      <c r="B954" s="93"/>
      <c r="C954" s="41"/>
      <c r="D954" s="100"/>
      <c r="E954" s="101"/>
      <c r="F954" s="100"/>
    </row>
    <row r="955" ht="12.75" customHeight="1">
      <c r="A955" s="100"/>
      <c r="B955" s="93"/>
      <c r="C955" s="41"/>
      <c r="D955" s="100"/>
      <c r="E955" s="101"/>
      <c r="F955" s="100"/>
    </row>
    <row r="956" ht="12.75" customHeight="1">
      <c r="A956" s="100"/>
      <c r="B956" s="93"/>
      <c r="C956" s="41"/>
      <c r="D956" s="100"/>
      <c r="E956" s="101"/>
      <c r="F956" s="100"/>
    </row>
    <row r="957" ht="12.75" customHeight="1">
      <c r="A957" s="100"/>
      <c r="B957" s="93"/>
      <c r="C957" s="41"/>
      <c r="D957" s="100"/>
      <c r="E957" s="101"/>
      <c r="F957" s="100"/>
    </row>
    <row r="958" ht="12.75" customHeight="1">
      <c r="A958" s="100"/>
      <c r="B958" s="93"/>
      <c r="C958" s="41"/>
      <c r="D958" s="100"/>
      <c r="E958" s="101"/>
      <c r="F958" s="100"/>
    </row>
    <row r="959" ht="12.75" customHeight="1">
      <c r="A959" s="100"/>
      <c r="B959" s="93"/>
      <c r="C959" s="41"/>
      <c r="D959" s="100"/>
      <c r="E959" s="101"/>
      <c r="F959" s="100"/>
    </row>
    <row r="960" ht="12.75" customHeight="1">
      <c r="A960" s="100"/>
      <c r="B960" s="93"/>
      <c r="C960" s="41"/>
      <c r="D960" s="100"/>
      <c r="E960" s="101"/>
      <c r="F960" s="100"/>
    </row>
    <row r="961" ht="12.75" customHeight="1">
      <c r="A961" s="100"/>
      <c r="B961" s="93"/>
      <c r="C961" s="41"/>
      <c r="D961" s="100"/>
      <c r="E961" s="101"/>
      <c r="F961" s="100"/>
    </row>
    <row r="962" ht="12.75" customHeight="1">
      <c r="A962" s="100"/>
      <c r="B962" s="93"/>
      <c r="C962" s="41"/>
      <c r="D962" s="100"/>
      <c r="E962" s="101"/>
      <c r="F962" s="100"/>
    </row>
    <row r="963" ht="12.75" customHeight="1">
      <c r="A963" s="100"/>
      <c r="B963" s="93"/>
      <c r="C963" s="41"/>
      <c r="D963" s="100"/>
      <c r="E963" s="101"/>
      <c r="F963" s="100"/>
    </row>
    <row r="964" ht="12.75" customHeight="1">
      <c r="A964" s="100"/>
      <c r="B964" s="93"/>
      <c r="C964" s="41"/>
      <c r="D964" s="100"/>
      <c r="E964" s="101"/>
      <c r="F964" s="100"/>
    </row>
    <row r="965" ht="12.75" customHeight="1">
      <c r="A965" s="100"/>
      <c r="B965" s="93"/>
      <c r="C965" s="41"/>
      <c r="D965" s="100"/>
      <c r="E965" s="101"/>
      <c r="F965" s="100"/>
    </row>
    <row r="966" ht="12.75" customHeight="1">
      <c r="A966" s="100"/>
      <c r="B966" s="93"/>
      <c r="C966" s="41"/>
      <c r="D966" s="100"/>
      <c r="E966" s="101"/>
      <c r="F966" s="100"/>
    </row>
    <row r="967" ht="12.75" customHeight="1">
      <c r="A967" s="100"/>
      <c r="B967" s="93"/>
      <c r="C967" s="41"/>
      <c r="D967" s="100"/>
      <c r="E967" s="101"/>
      <c r="F967" s="100"/>
    </row>
    <row r="968" ht="12.75" customHeight="1">
      <c r="A968" s="100"/>
      <c r="B968" s="93"/>
      <c r="C968" s="41"/>
      <c r="D968" s="100"/>
      <c r="E968" s="101"/>
      <c r="F968" s="100"/>
    </row>
    <row r="969" ht="12.75" customHeight="1">
      <c r="A969" s="100"/>
      <c r="B969" s="93"/>
      <c r="C969" s="41"/>
      <c r="D969" s="100"/>
      <c r="E969" s="101"/>
      <c r="F969" s="100"/>
    </row>
    <row r="970" ht="12.75" customHeight="1">
      <c r="A970" s="100"/>
      <c r="B970" s="93"/>
      <c r="C970" s="41"/>
      <c r="D970" s="100"/>
      <c r="E970" s="101"/>
      <c r="F970" s="100"/>
    </row>
    <row r="971" ht="12.75" customHeight="1">
      <c r="A971" s="100"/>
      <c r="B971" s="93"/>
      <c r="C971" s="41"/>
      <c r="D971" s="100"/>
      <c r="E971" s="101"/>
      <c r="F971" s="100"/>
    </row>
    <row r="972" ht="12.75" customHeight="1">
      <c r="A972" s="100"/>
      <c r="B972" s="93"/>
      <c r="C972" s="41"/>
      <c r="D972" s="100"/>
      <c r="E972" s="101"/>
      <c r="F972" s="100"/>
    </row>
    <row r="973" ht="12.75" customHeight="1">
      <c r="A973" s="100"/>
      <c r="B973" s="93"/>
      <c r="C973" s="41"/>
      <c r="D973" s="100"/>
      <c r="E973" s="101"/>
      <c r="F973" s="100"/>
    </row>
    <row r="974" ht="12.75" customHeight="1">
      <c r="A974" s="100"/>
      <c r="B974" s="93"/>
      <c r="C974" s="41"/>
      <c r="D974" s="100"/>
      <c r="E974" s="101"/>
      <c r="F974" s="100"/>
    </row>
    <row r="975" ht="12.75" customHeight="1">
      <c r="A975" s="100"/>
      <c r="B975" s="93"/>
      <c r="C975" s="41"/>
      <c r="D975" s="100"/>
      <c r="E975" s="101"/>
      <c r="F975" s="100"/>
    </row>
    <row r="976" ht="12.75" customHeight="1">
      <c r="A976" s="100"/>
      <c r="B976" s="93"/>
      <c r="C976" s="41"/>
      <c r="D976" s="100"/>
      <c r="E976" s="101"/>
      <c r="F976" s="100"/>
    </row>
    <row r="977" ht="12.75" customHeight="1">
      <c r="A977" s="100"/>
      <c r="B977" s="93"/>
      <c r="C977" s="41"/>
      <c r="D977" s="100"/>
      <c r="E977" s="101"/>
      <c r="F977" s="100"/>
    </row>
    <row r="978" ht="12.75" customHeight="1">
      <c r="A978" s="100"/>
      <c r="B978" s="93"/>
      <c r="C978" s="41"/>
      <c r="D978" s="100"/>
      <c r="E978" s="101"/>
      <c r="F978" s="100"/>
    </row>
    <row r="979" ht="12.75" customHeight="1">
      <c r="A979" s="100"/>
      <c r="B979" s="93"/>
      <c r="C979" s="41"/>
      <c r="D979" s="100"/>
      <c r="E979" s="101"/>
      <c r="F979" s="100"/>
    </row>
    <row r="980" ht="12.75" customHeight="1">
      <c r="A980" s="100"/>
      <c r="B980" s="93"/>
      <c r="C980" s="41"/>
      <c r="D980" s="100"/>
      <c r="E980" s="101"/>
      <c r="F980" s="100"/>
    </row>
    <row r="981" ht="12.75" customHeight="1">
      <c r="A981" s="100"/>
      <c r="B981" s="93"/>
      <c r="C981" s="41"/>
      <c r="D981" s="100"/>
      <c r="E981" s="101"/>
      <c r="F981" s="100"/>
    </row>
    <row r="982" ht="12.75" customHeight="1">
      <c r="A982" s="100"/>
      <c r="B982" s="93"/>
      <c r="C982" s="41"/>
      <c r="D982" s="100"/>
      <c r="E982" s="101"/>
      <c r="F982" s="100"/>
    </row>
    <row r="983" ht="12.75" customHeight="1">
      <c r="A983" s="100"/>
      <c r="B983" s="93"/>
      <c r="C983" s="41"/>
      <c r="D983" s="100"/>
      <c r="E983" s="101"/>
      <c r="F983" s="100"/>
    </row>
    <row r="984" ht="12.75" customHeight="1">
      <c r="A984" s="100"/>
      <c r="B984" s="93"/>
      <c r="C984" s="41"/>
      <c r="D984" s="100"/>
      <c r="E984" s="101"/>
      <c r="F984" s="100"/>
    </row>
    <row r="985" ht="12.75" customHeight="1">
      <c r="A985" s="100"/>
      <c r="B985" s="93"/>
      <c r="C985" s="41"/>
      <c r="D985" s="100"/>
      <c r="E985" s="101"/>
      <c r="F985" s="100"/>
    </row>
    <row r="986" ht="12.75" customHeight="1">
      <c r="A986" s="100"/>
      <c r="B986" s="93"/>
      <c r="C986" s="41"/>
      <c r="D986" s="100"/>
      <c r="E986" s="101"/>
      <c r="F986" s="100"/>
    </row>
    <row r="987" ht="12.75" customHeight="1">
      <c r="A987" s="100"/>
      <c r="B987" s="93"/>
      <c r="C987" s="41"/>
      <c r="D987" s="100"/>
      <c r="E987" s="101"/>
      <c r="F987" s="100"/>
    </row>
    <row r="988" ht="12.75" customHeight="1">
      <c r="A988" s="100"/>
      <c r="B988" s="93"/>
      <c r="C988" s="41"/>
      <c r="D988" s="100"/>
      <c r="E988" s="101"/>
      <c r="F988" s="100"/>
    </row>
    <row r="989" ht="12.75" customHeight="1">
      <c r="A989" s="100"/>
      <c r="B989" s="93"/>
      <c r="C989" s="41"/>
      <c r="D989" s="100"/>
      <c r="E989" s="101"/>
      <c r="F989" s="100"/>
    </row>
    <row r="990" ht="12.75" customHeight="1">
      <c r="A990" s="100"/>
      <c r="B990" s="93"/>
      <c r="C990" s="41"/>
      <c r="D990" s="100"/>
      <c r="E990" s="101"/>
      <c r="F990" s="100"/>
    </row>
    <row r="991" ht="12.75" customHeight="1">
      <c r="A991" s="100"/>
      <c r="B991" s="93"/>
      <c r="C991" s="41"/>
      <c r="D991" s="100"/>
      <c r="E991" s="101"/>
      <c r="F991" s="100"/>
    </row>
    <row r="992" ht="12.75" customHeight="1">
      <c r="A992" s="100"/>
      <c r="B992" s="93"/>
      <c r="C992" s="41"/>
      <c r="D992" s="100"/>
      <c r="E992" s="101"/>
      <c r="F992" s="100"/>
    </row>
    <row r="993" ht="12.75" customHeight="1">
      <c r="A993" s="100"/>
      <c r="B993" s="93"/>
      <c r="C993" s="41"/>
      <c r="D993" s="100"/>
      <c r="E993" s="101"/>
      <c r="F993" s="100"/>
    </row>
    <row r="994" ht="12.75" customHeight="1">
      <c r="A994" s="100"/>
      <c r="B994" s="93"/>
      <c r="C994" s="41"/>
      <c r="D994" s="100"/>
      <c r="E994" s="101"/>
      <c r="F994" s="100"/>
    </row>
    <row r="995" ht="12.75" customHeight="1">
      <c r="A995" s="100"/>
      <c r="B995" s="93"/>
      <c r="C995" s="41"/>
      <c r="D995" s="100"/>
      <c r="E995" s="101"/>
      <c r="F995" s="100"/>
    </row>
    <row r="996" ht="12.75" customHeight="1">
      <c r="A996" s="100"/>
      <c r="B996" s="93"/>
      <c r="C996" s="41"/>
      <c r="D996" s="100"/>
      <c r="E996" s="101"/>
      <c r="F996" s="100"/>
    </row>
    <row r="997" ht="12.75" customHeight="1">
      <c r="A997" s="100"/>
      <c r="B997" s="93"/>
      <c r="C997" s="41"/>
      <c r="D997" s="100"/>
      <c r="E997" s="101"/>
      <c r="F997" s="100"/>
    </row>
    <row r="998" ht="12.75" customHeight="1">
      <c r="A998" s="100"/>
      <c r="B998" s="93"/>
      <c r="C998" s="41"/>
      <c r="D998" s="100"/>
      <c r="E998" s="101"/>
      <c r="F998" s="100"/>
    </row>
    <row r="999" ht="12.75" customHeight="1">
      <c r="A999" s="100"/>
      <c r="B999" s="93"/>
      <c r="C999" s="41"/>
      <c r="D999" s="100"/>
      <c r="E999" s="101"/>
      <c r="F999" s="100"/>
    </row>
    <row r="1000" ht="12.75" customHeight="1">
      <c r="A1000" s="100"/>
      <c r="B1000" s="93"/>
      <c r="C1000" s="41"/>
      <c r="D1000" s="100"/>
      <c r="E1000" s="101"/>
      <c r="F1000" s="100"/>
    </row>
    <row r="1001" ht="12.75" customHeight="1">
      <c r="A1001" s="102"/>
      <c r="B1001" s="103"/>
      <c r="C1001" s="41"/>
      <c r="D1001" s="102"/>
      <c r="E1001" s="101"/>
      <c r="F1001" s="102"/>
    </row>
    <row r="1002" ht="12.75" customHeight="1">
      <c r="A1002" s="102"/>
      <c r="B1002" s="103"/>
      <c r="C1002" s="41"/>
      <c r="D1002" s="102"/>
      <c r="E1002" s="101"/>
      <c r="F1002" s="102"/>
    </row>
    <row r="1003" ht="12.75" customHeight="1">
      <c r="A1003" s="102"/>
      <c r="B1003" s="103"/>
      <c r="C1003" s="41"/>
      <c r="D1003" s="102"/>
      <c r="E1003" s="101"/>
      <c r="F1003" s="102"/>
    </row>
    <row r="1004" ht="12.75" customHeight="1">
      <c r="A1004" s="102"/>
      <c r="B1004" s="103"/>
      <c r="C1004" s="41"/>
      <c r="D1004" s="102"/>
      <c r="E1004" s="101"/>
      <c r="F1004" s="102"/>
    </row>
    <row r="1005" ht="12.75" customHeight="1">
      <c r="A1005" s="102"/>
      <c r="B1005" s="103"/>
      <c r="C1005" s="41"/>
      <c r="D1005" s="102"/>
      <c r="E1005" s="101"/>
      <c r="F1005" s="102"/>
    </row>
    <row r="1006" ht="12.75" customHeight="1">
      <c r="A1006" s="102"/>
      <c r="B1006" s="103"/>
      <c r="C1006" s="41"/>
      <c r="D1006" s="102"/>
      <c r="E1006" s="101"/>
      <c r="F1006" s="102"/>
    </row>
    <row r="1007" ht="12.75" customHeight="1">
      <c r="A1007" s="102"/>
      <c r="B1007" s="103"/>
      <c r="C1007" s="41"/>
      <c r="D1007" s="102"/>
      <c r="E1007" s="101"/>
      <c r="F1007" s="102"/>
    </row>
    <row r="1008" ht="12.75" customHeight="1">
      <c r="A1008" s="102"/>
      <c r="B1008" s="103"/>
      <c r="C1008" s="41"/>
      <c r="D1008" s="102"/>
      <c r="E1008" s="101"/>
      <c r="F1008" s="102"/>
    </row>
    <row r="1009" ht="12.75" customHeight="1">
      <c r="A1009" s="102"/>
      <c r="B1009" s="103"/>
      <c r="C1009" s="41"/>
      <c r="D1009" s="102"/>
      <c r="E1009" s="101"/>
      <c r="F1009" s="102"/>
    </row>
    <row r="1010" ht="12.75" customHeight="1">
      <c r="A1010" s="102"/>
      <c r="B1010" s="103"/>
      <c r="C1010" s="41"/>
      <c r="D1010" s="102"/>
      <c r="E1010" s="101"/>
      <c r="F1010" s="102"/>
    </row>
    <row r="1011" ht="12.75" customHeight="1">
      <c r="A1011" s="102"/>
      <c r="B1011" s="103"/>
      <c r="C1011" s="41"/>
      <c r="D1011" s="102"/>
      <c r="E1011" s="101"/>
      <c r="F1011" s="102"/>
    </row>
    <row r="1012" ht="12.75" customHeight="1">
      <c r="A1012" s="102"/>
      <c r="B1012" s="103"/>
      <c r="C1012" s="41"/>
      <c r="D1012" s="102"/>
      <c r="E1012" s="101"/>
      <c r="F1012" s="102"/>
    </row>
    <row r="1013" ht="12.75" customHeight="1">
      <c r="A1013" s="102"/>
      <c r="B1013" s="103"/>
      <c r="C1013" s="41"/>
      <c r="D1013" s="102"/>
      <c r="E1013" s="101"/>
      <c r="F1013" s="102"/>
    </row>
    <row r="1014" ht="12.75" customHeight="1">
      <c r="A1014" s="102"/>
      <c r="B1014" s="103"/>
      <c r="C1014" s="41"/>
      <c r="D1014" s="102"/>
      <c r="E1014" s="101"/>
      <c r="F1014" s="102"/>
    </row>
    <row r="1015" ht="12.75" customHeight="1">
      <c r="A1015" s="102"/>
      <c r="B1015" s="103"/>
      <c r="C1015" s="41"/>
      <c r="D1015" s="102"/>
      <c r="E1015" s="101"/>
      <c r="F1015" s="102"/>
    </row>
    <row r="1016" ht="12.75" customHeight="1">
      <c r="A1016" s="102"/>
      <c r="B1016" s="103"/>
      <c r="C1016" s="41"/>
      <c r="D1016" s="102"/>
      <c r="E1016" s="101"/>
      <c r="F1016" s="102"/>
    </row>
    <row r="1017" ht="12.75" customHeight="1">
      <c r="A1017" s="102"/>
      <c r="B1017" s="103"/>
      <c r="C1017" s="41"/>
      <c r="D1017" s="102"/>
      <c r="E1017" s="101"/>
      <c r="F1017" s="102"/>
    </row>
    <row r="1018" ht="12.75" customHeight="1">
      <c r="A1018" s="102"/>
      <c r="B1018" s="103"/>
      <c r="C1018" s="41"/>
      <c r="D1018" s="102"/>
      <c r="E1018" s="101"/>
      <c r="F1018" s="102"/>
    </row>
    <row r="1019" ht="12.75" customHeight="1">
      <c r="A1019" s="102"/>
      <c r="B1019" s="103"/>
      <c r="C1019" s="41"/>
      <c r="D1019" s="102"/>
      <c r="E1019" s="101"/>
      <c r="F1019" s="102"/>
    </row>
    <row r="1020" ht="12.75" customHeight="1">
      <c r="A1020" s="102"/>
      <c r="B1020" s="103"/>
      <c r="C1020" s="41"/>
      <c r="D1020" s="102"/>
      <c r="E1020" s="101"/>
      <c r="F1020" s="102"/>
    </row>
    <row r="1021" ht="12.75" customHeight="1">
      <c r="A1021" s="102"/>
      <c r="B1021" s="103"/>
      <c r="C1021" s="41"/>
      <c r="D1021" s="102"/>
      <c r="E1021" s="101"/>
      <c r="F1021" s="102"/>
    </row>
    <row r="1022" ht="12.75" customHeight="1">
      <c r="A1022" s="102"/>
      <c r="B1022" s="103"/>
      <c r="C1022" s="41"/>
      <c r="D1022" s="102"/>
      <c r="E1022" s="101"/>
      <c r="F1022" s="102"/>
    </row>
    <row r="1023" ht="12.75" customHeight="1">
      <c r="A1023" s="102"/>
      <c r="B1023" s="103"/>
      <c r="C1023" s="41"/>
      <c r="D1023" s="102"/>
      <c r="E1023" s="101"/>
      <c r="F1023" s="102"/>
    </row>
    <row r="1024" ht="12.75" customHeight="1">
      <c r="A1024" s="102"/>
      <c r="B1024" s="103"/>
      <c r="C1024" s="41"/>
      <c r="D1024" s="102"/>
      <c r="E1024" s="101"/>
      <c r="F1024" s="102"/>
    </row>
    <row r="1025" ht="12.75" customHeight="1">
      <c r="A1025" s="102"/>
      <c r="B1025" s="103"/>
      <c r="C1025" s="41"/>
      <c r="D1025" s="102"/>
      <c r="E1025" s="101"/>
      <c r="F1025" s="102"/>
    </row>
    <row r="1026" ht="12.75" customHeight="1">
      <c r="A1026" s="102"/>
      <c r="B1026" s="103"/>
      <c r="C1026" s="41"/>
      <c r="D1026" s="102"/>
      <c r="E1026" s="101"/>
      <c r="F1026" s="102"/>
    </row>
    <row r="1027" ht="12.75" customHeight="1">
      <c r="A1027" s="102"/>
      <c r="B1027" s="103"/>
      <c r="C1027" s="41"/>
      <c r="D1027" s="102"/>
      <c r="E1027" s="101"/>
      <c r="F1027" s="102"/>
    </row>
    <row r="1028" ht="12.75" customHeight="1">
      <c r="A1028" s="102"/>
      <c r="B1028" s="103"/>
      <c r="C1028" s="41"/>
      <c r="D1028" s="102"/>
      <c r="E1028" s="101"/>
      <c r="F1028" s="102"/>
    </row>
    <row r="1029" ht="12.75" customHeight="1">
      <c r="A1029" s="102"/>
      <c r="B1029" s="103"/>
      <c r="C1029" s="41"/>
      <c r="D1029" s="102"/>
      <c r="E1029" s="101"/>
      <c r="F1029" s="102"/>
    </row>
    <row r="1030" ht="12.75" customHeight="1">
      <c r="A1030" s="102"/>
      <c r="B1030" s="103"/>
      <c r="C1030" s="41"/>
      <c r="D1030" s="102"/>
      <c r="E1030" s="101"/>
      <c r="F1030" s="102"/>
    </row>
    <row r="1031" ht="12.75" customHeight="1">
      <c r="A1031" s="102"/>
      <c r="B1031" s="103"/>
      <c r="C1031" s="41"/>
      <c r="D1031" s="102"/>
      <c r="E1031" s="101"/>
      <c r="F1031" s="102"/>
    </row>
    <row r="1032" ht="12.75" customHeight="1">
      <c r="A1032" s="102"/>
      <c r="B1032" s="103"/>
      <c r="C1032" s="41"/>
      <c r="D1032" s="102"/>
      <c r="E1032" s="101"/>
      <c r="F1032" s="102"/>
    </row>
    <row r="1033" ht="12.75" customHeight="1">
      <c r="A1033" s="102"/>
      <c r="B1033" s="103"/>
      <c r="C1033" s="41"/>
      <c r="D1033" s="102"/>
      <c r="E1033" s="101"/>
      <c r="F1033" s="102"/>
    </row>
    <row r="1034" ht="12.75" customHeight="1">
      <c r="A1034" s="102"/>
      <c r="B1034" s="103"/>
      <c r="C1034" s="41"/>
      <c r="D1034" s="102"/>
      <c r="E1034" s="101"/>
      <c r="F1034" s="102"/>
    </row>
    <row r="1035" ht="12.75" customHeight="1">
      <c r="A1035" s="102"/>
      <c r="B1035" s="103"/>
      <c r="C1035" s="41"/>
      <c r="D1035" s="102"/>
      <c r="E1035" s="101"/>
      <c r="F1035" s="102"/>
    </row>
    <row r="1036" ht="12.75" customHeight="1">
      <c r="A1036" s="102"/>
      <c r="B1036" s="103"/>
      <c r="C1036" s="41"/>
      <c r="D1036" s="102"/>
      <c r="E1036" s="101"/>
      <c r="F1036" s="102"/>
    </row>
    <row r="1037" ht="12.75" customHeight="1">
      <c r="A1037" s="102"/>
      <c r="B1037" s="103"/>
      <c r="C1037" s="41"/>
      <c r="D1037" s="102"/>
      <c r="E1037" s="101"/>
      <c r="F1037" s="102"/>
    </row>
    <row r="1038" ht="12.75" customHeight="1">
      <c r="A1038" s="102"/>
      <c r="B1038" s="103"/>
      <c r="C1038" s="41"/>
      <c r="D1038" s="102"/>
      <c r="E1038" s="101"/>
      <c r="F1038" s="102"/>
    </row>
    <row r="1039" ht="12.75" customHeight="1">
      <c r="A1039" s="102"/>
      <c r="B1039" s="103"/>
      <c r="C1039" s="41"/>
      <c r="D1039" s="102"/>
      <c r="E1039" s="101"/>
      <c r="F1039" s="102"/>
    </row>
    <row r="1040" ht="12.75" customHeight="1">
      <c r="A1040" s="102"/>
      <c r="B1040" s="103"/>
      <c r="C1040" s="41"/>
      <c r="D1040" s="102"/>
      <c r="E1040" s="101"/>
      <c r="F1040" s="102"/>
    </row>
    <row r="1041" ht="12.75" customHeight="1">
      <c r="A1041" s="102"/>
      <c r="B1041" s="103"/>
      <c r="C1041" s="41"/>
      <c r="D1041" s="102"/>
      <c r="E1041" s="101"/>
      <c r="F1041" s="102"/>
    </row>
    <row r="1042" ht="12.75" customHeight="1">
      <c r="A1042" s="102"/>
      <c r="B1042" s="103"/>
      <c r="C1042" s="41"/>
      <c r="D1042" s="102"/>
      <c r="E1042" s="101"/>
      <c r="F1042" s="102"/>
    </row>
    <row r="1043" ht="12.75" customHeight="1">
      <c r="A1043" s="102"/>
      <c r="B1043" s="103"/>
      <c r="C1043" s="41"/>
      <c r="D1043" s="102"/>
      <c r="E1043" s="101"/>
      <c r="F1043" s="102"/>
    </row>
    <row r="1044" ht="12.75" customHeight="1">
      <c r="A1044" s="102"/>
      <c r="B1044" s="103"/>
      <c r="C1044" s="41"/>
      <c r="D1044" s="102"/>
      <c r="E1044" s="101"/>
      <c r="F1044" s="102"/>
    </row>
    <row r="1045" ht="12.75" customHeight="1">
      <c r="A1045" s="102"/>
      <c r="B1045" s="103"/>
      <c r="C1045" s="41"/>
      <c r="D1045" s="102"/>
      <c r="E1045" s="101"/>
      <c r="F1045" s="102"/>
    </row>
    <row r="1046" ht="12.75" customHeight="1">
      <c r="A1046" s="102"/>
      <c r="B1046" s="103"/>
      <c r="C1046" s="41"/>
      <c r="D1046" s="102"/>
      <c r="E1046" s="101"/>
      <c r="F1046" s="102"/>
    </row>
    <row r="1047" ht="12.75" customHeight="1">
      <c r="A1047" s="102"/>
      <c r="B1047" s="103"/>
      <c r="C1047" s="41"/>
      <c r="D1047" s="102"/>
      <c r="E1047" s="101"/>
      <c r="F1047" s="102"/>
    </row>
    <row r="1048" ht="12.75" customHeight="1">
      <c r="A1048" s="102"/>
      <c r="B1048" s="103"/>
      <c r="C1048" s="41"/>
      <c r="D1048" s="102"/>
      <c r="E1048" s="101"/>
      <c r="F1048" s="102"/>
    </row>
    <row r="1049" ht="12.75" customHeight="1">
      <c r="A1049" s="102"/>
      <c r="B1049" s="103"/>
      <c r="C1049" s="41"/>
      <c r="D1049" s="102"/>
      <c r="E1049" s="101"/>
      <c r="F1049" s="102"/>
    </row>
    <row r="1050" ht="12.75" customHeight="1">
      <c r="A1050" s="102"/>
      <c r="B1050" s="103"/>
      <c r="C1050" s="41"/>
      <c r="D1050" s="102"/>
      <c r="E1050" s="101"/>
      <c r="F1050" s="102"/>
    </row>
    <row r="1051" ht="12.75" customHeight="1">
      <c r="A1051" s="102"/>
      <c r="B1051" s="103"/>
      <c r="C1051" s="41"/>
      <c r="D1051" s="102"/>
      <c r="E1051" s="101"/>
      <c r="F1051" s="102"/>
    </row>
    <row r="1052" ht="12.75" customHeight="1">
      <c r="A1052" s="102"/>
      <c r="B1052" s="103"/>
      <c r="C1052" s="41"/>
      <c r="D1052" s="102"/>
      <c r="E1052" s="101"/>
      <c r="F1052" s="102"/>
    </row>
    <row r="1053" ht="12.75" customHeight="1">
      <c r="A1053" s="102"/>
      <c r="B1053" s="103"/>
      <c r="C1053" s="41"/>
      <c r="D1053" s="102"/>
      <c r="E1053" s="101"/>
      <c r="F1053" s="102"/>
    </row>
    <row r="1054" ht="12.75" customHeight="1">
      <c r="A1054" s="102"/>
      <c r="B1054" s="103"/>
      <c r="C1054" s="41"/>
      <c r="D1054" s="102"/>
      <c r="E1054" s="101"/>
      <c r="F1054" s="102"/>
    </row>
    <row r="1055" ht="12.75" customHeight="1">
      <c r="A1055" s="102"/>
      <c r="B1055" s="103"/>
      <c r="C1055" s="41"/>
      <c r="D1055" s="102"/>
      <c r="E1055" s="101"/>
      <c r="F1055" s="102"/>
    </row>
    <row r="1056" ht="12.75" customHeight="1">
      <c r="A1056" s="102"/>
      <c r="B1056" s="103"/>
      <c r="C1056" s="41"/>
      <c r="D1056" s="102"/>
      <c r="E1056" s="101"/>
      <c r="F1056" s="102"/>
    </row>
    <row r="1057" ht="12.75" customHeight="1">
      <c r="A1057" s="102"/>
      <c r="B1057" s="103"/>
      <c r="C1057" s="41"/>
      <c r="D1057" s="102"/>
      <c r="E1057" s="101"/>
      <c r="F1057" s="102"/>
    </row>
    <row r="1058" ht="12.75" customHeight="1">
      <c r="A1058" s="102"/>
      <c r="B1058" s="103"/>
      <c r="C1058" s="41"/>
      <c r="D1058" s="102"/>
      <c r="E1058" s="101"/>
      <c r="F1058" s="102"/>
    </row>
    <row r="1059" ht="12.75" customHeight="1">
      <c r="A1059" s="102"/>
      <c r="B1059" s="103"/>
      <c r="C1059" s="41"/>
      <c r="D1059" s="102"/>
      <c r="E1059" s="101"/>
      <c r="F1059" s="102"/>
    </row>
    <row r="1060" ht="12.75" customHeight="1">
      <c r="A1060" s="102"/>
      <c r="B1060" s="103"/>
      <c r="C1060" s="41"/>
      <c r="D1060" s="102"/>
      <c r="E1060" s="101"/>
      <c r="F1060" s="102"/>
    </row>
    <row r="1061" ht="12.75" customHeight="1">
      <c r="A1061" s="102"/>
      <c r="B1061" s="103"/>
      <c r="C1061" s="41"/>
      <c r="D1061" s="102"/>
      <c r="E1061" s="101"/>
      <c r="F1061" s="102"/>
    </row>
    <row r="1062" ht="12.75" customHeight="1">
      <c r="A1062" s="102"/>
      <c r="B1062" s="103"/>
      <c r="C1062" s="41"/>
      <c r="D1062" s="102"/>
      <c r="E1062" s="101"/>
      <c r="F1062" s="102"/>
    </row>
    <row r="1063" ht="12.75" customHeight="1">
      <c r="A1063" s="102"/>
      <c r="B1063" s="103"/>
      <c r="C1063" s="41"/>
      <c r="D1063" s="102"/>
      <c r="E1063" s="101"/>
      <c r="F1063" s="102"/>
    </row>
    <row r="1064" ht="12.75" customHeight="1">
      <c r="A1064" s="102"/>
      <c r="B1064" s="103"/>
      <c r="C1064" s="41"/>
      <c r="D1064" s="102"/>
      <c r="E1064" s="101"/>
      <c r="F1064" s="102"/>
    </row>
    <row r="1065" ht="12.75" customHeight="1">
      <c r="A1065" s="102"/>
      <c r="B1065" s="103"/>
      <c r="C1065" s="41"/>
      <c r="D1065" s="102"/>
      <c r="E1065" s="101"/>
      <c r="F1065" s="102"/>
    </row>
    <row r="1066" ht="12.75" customHeight="1">
      <c r="A1066" s="102"/>
      <c r="B1066" s="103"/>
      <c r="C1066" s="41"/>
      <c r="D1066" s="102"/>
      <c r="E1066" s="101"/>
      <c r="F1066" s="102"/>
    </row>
    <row r="1067" ht="12.75" customHeight="1">
      <c r="A1067" s="102"/>
      <c r="B1067" s="103"/>
      <c r="C1067" s="41"/>
      <c r="D1067" s="102"/>
      <c r="E1067" s="101"/>
      <c r="F1067" s="102"/>
    </row>
    <row r="1068" ht="12.75" customHeight="1">
      <c r="A1068" s="102"/>
      <c r="B1068" s="103"/>
      <c r="C1068" s="41"/>
      <c r="D1068" s="102"/>
      <c r="E1068" s="101"/>
      <c r="F1068" s="102"/>
    </row>
    <row r="1069" ht="12.75" customHeight="1">
      <c r="A1069" s="102"/>
      <c r="B1069" s="103"/>
      <c r="C1069" s="41"/>
      <c r="D1069" s="102"/>
      <c r="E1069" s="101"/>
      <c r="F1069" s="102"/>
    </row>
    <row r="1070" ht="12.75" customHeight="1">
      <c r="A1070" s="102"/>
      <c r="B1070" s="103"/>
      <c r="C1070" s="41"/>
      <c r="D1070" s="102"/>
      <c r="E1070" s="101"/>
      <c r="F1070" s="102"/>
    </row>
    <row r="1071" ht="12.75" customHeight="1">
      <c r="A1071" s="102"/>
      <c r="B1071" s="103"/>
      <c r="C1071" s="41"/>
      <c r="D1071" s="102"/>
      <c r="E1071" s="101"/>
      <c r="F1071" s="102"/>
    </row>
    <row r="1072" ht="12.75" customHeight="1">
      <c r="A1072" s="102"/>
      <c r="B1072" s="103"/>
      <c r="C1072" s="41"/>
      <c r="D1072" s="102"/>
      <c r="E1072" s="101"/>
      <c r="F1072" s="102"/>
    </row>
    <row r="1073" ht="12.75" customHeight="1">
      <c r="A1073" s="102"/>
      <c r="B1073" s="103"/>
      <c r="C1073" s="41"/>
      <c r="D1073" s="102"/>
      <c r="E1073" s="101"/>
      <c r="F1073" s="102"/>
    </row>
    <row r="1074" ht="12.75" customHeight="1">
      <c r="A1074" s="102"/>
      <c r="B1074" s="103"/>
      <c r="C1074" s="41"/>
      <c r="D1074" s="102"/>
      <c r="E1074" s="101"/>
      <c r="F1074" s="102"/>
    </row>
    <row r="1075" ht="12.75" customHeight="1">
      <c r="A1075" s="102"/>
      <c r="B1075" s="103"/>
      <c r="C1075" s="41"/>
      <c r="D1075" s="102"/>
      <c r="E1075" s="101"/>
      <c r="F1075" s="102"/>
    </row>
    <row r="1076" ht="12.75" customHeight="1">
      <c r="A1076" s="102"/>
      <c r="B1076" s="103"/>
      <c r="C1076" s="41"/>
      <c r="D1076" s="102"/>
      <c r="E1076" s="101"/>
      <c r="F1076" s="102"/>
    </row>
    <row r="1077" ht="12.75" customHeight="1">
      <c r="A1077" s="102"/>
      <c r="B1077" s="103"/>
      <c r="C1077" s="41"/>
      <c r="D1077" s="102"/>
      <c r="E1077" s="101"/>
      <c r="F1077" s="102"/>
    </row>
    <row r="1078" ht="12.75" customHeight="1">
      <c r="A1078" s="102"/>
      <c r="B1078" s="103"/>
      <c r="C1078" s="41"/>
      <c r="D1078" s="102"/>
      <c r="E1078" s="101"/>
      <c r="F1078" s="102"/>
    </row>
    <row r="1079" ht="12.75" customHeight="1">
      <c r="A1079" s="102"/>
      <c r="B1079" s="103"/>
      <c r="C1079" s="41"/>
      <c r="D1079" s="102"/>
      <c r="E1079" s="101"/>
      <c r="F1079" s="102"/>
    </row>
    <row r="1080" ht="12.75" customHeight="1">
      <c r="A1080" s="102"/>
      <c r="B1080" s="103"/>
      <c r="C1080" s="41"/>
      <c r="D1080" s="102"/>
      <c r="E1080" s="101"/>
      <c r="F1080" s="102"/>
    </row>
    <row r="1081" ht="12.75" customHeight="1">
      <c r="A1081" s="102"/>
      <c r="B1081" s="103"/>
      <c r="C1081" s="41"/>
      <c r="D1081" s="102"/>
      <c r="E1081" s="101"/>
      <c r="F1081" s="102"/>
    </row>
    <row r="1082" ht="12.75" customHeight="1">
      <c r="A1082" s="102"/>
      <c r="B1082" s="103"/>
      <c r="C1082" s="41"/>
      <c r="D1082" s="102"/>
      <c r="E1082" s="101"/>
      <c r="F1082" s="102"/>
    </row>
    <row r="1083" ht="12.75" customHeight="1">
      <c r="A1083" s="102"/>
      <c r="B1083" s="103"/>
      <c r="C1083" s="41"/>
      <c r="D1083" s="102"/>
      <c r="E1083" s="101"/>
      <c r="F1083" s="102"/>
    </row>
    <row r="1084" ht="12.75" customHeight="1">
      <c r="A1084" s="102"/>
      <c r="B1084" s="103"/>
      <c r="C1084" s="41"/>
      <c r="D1084" s="102"/>
      <c r="E1084" s="101"/>
      <c r="F1084" s="102"/>
    </row>
    <row r="1085" ht="12.75" customHeight="1">
      <c r="A1085" s="102"/>
      <c r="B1085" s="103"/>
      <c r="C1085" s="41"/>
      <c r="D1085" s="102"/>
      <c r="E1085" s="101"/>
      <c r="F1085" s="102"/>
    </row>
    <row r="1086" ht="12.75" customHeight="1">
      <c r="A1086" s="102"/>
      <c r="B1086" s="103"/>
      <c r="C1086" s="41"/>
      <c r="D1086" s="102"/>
      <c r="E1086" s="101"/>
      <c r="F1086" s="102"/>
    </row>
    <row r="1087" ht="12.75" customHeight="1">
      <c r="A1087" s="102"/>
      <c r="B1087" s="103"/>
      <c r="C1087" s="41"/>
      <c r="D1087" s="102"/>
      <c r="E1087" s="101"/>
      <c r="F1087" s="102"/>
    </row>
    <row r="1088" ht="12.75" customHeight="1">
      <c r="A1088" s="102"/>
      <c r="B1088" s="103"/>
      <c r="C1088" s="41"/>
      <c r="D1088" s="102"/>
      <c r="E1088" s="101"/>
      <c r="F1088" s="102"/>
    </row>
    <row r="1089" ht="12.75" customHeight="1">
      <c r="A1089" s="102"/>
      <c r="B1089" s="103"/>
      <c r="C1089" s="41"/>
      <c r="D1089" s="102"/>
      <c r="E1089" s="101"/>
      <c r="F1089" s="102"/>
    </row>
    <row r="1090" ht="12.75" customHeight="1">
      <c r="A1090" s="102"/>
      <c r="B1090" s="103"/>
      <c r="C1090" s="41"/>
      <c r="D1090" s="102"/>
      <c r="E1090" s="101"/>
      <c r="F1090" s="102"/>
    </row>
    <row r="1091" ht="12.75" customHeight="1">
      <c r="A1091" s="102"/>
      <c r="B1091" s="103"/>
      <c r="C1091" s="41"/>
      <c r="D1091" s="102"/>
      <c r="E1091" s="101"/>
      <c r="F1091" s="102"/>
    </row>
    <row r="1092" ht="12.75" customHeight="1">
      <c r="A1092" s="102"/>
      <c r="B1092" s="103"/>
      <c r="C1092" s="41"/>
      <c r="D1092" s="102"/>
      <c r="E1092" s="101"/>
      <c r="F1092" s="102"/>
    </row>
    <row r="1093" ht="12.75" customHeight="1">
      <c r="A1093" s="102"/>
      <c r="B1093" s="103"/>
      <c r="C1093" s="41"/>
      <c r="D1093" s="102"/>
      <c r="E1093" s="101"/>
      <c r="F1093" s="102"/>
    </row>
    <row r="1094" ht="12.75" customHeight="1">
      <c r="A1094" s="102"/>
      <c r="B1094" s="103"/>
      <c r="C1094" s="41"/>
      <c r="D1094" s="102"/>
      <c r="E1094" s="101"/>
      <c r="F1094" s="102"/>
    </row>
    <row r="1095" ht="12.75" customHeight="1">
      <c r="A1095" s="102"/>
      <c r="B1095" s="103"/>
      <c r="C1095" s="41"/>
      <c r="D1095" s="102"/>
      <c r="E1095" s="101"/>
      <c r="F1095" s="102"/>
    </row>
    <row r="1096" ht="12.75" customHeight="1">
      <c r="A1096" s="102"/>
      <c r="B1096" s="103"/>
      <c r="C1096" s="41"/>
      <c r="D1096" s="102"/>
      <c r="E1096" s="101"/>
      <c r="F1096" s="102"/>
    </row>
    <row r="1097" ht="12.75" customHeight="1">
      <c r="A1097" s="102"/>
      <c r="B1097" s="103"/>
      <c r="C1097" s="41"/>
      <c r="D1097" s="102"/>
      <c r="E1097" s="101"/>
      <c r="F1097" s="102"/>
    </row>
    <row r="1098" ht="12.75" customHeight="1">
      <c r="A1098" s="102"/>
      <c r="B1098" s="103"/>
      <c r="C1098" s="41"/>
      <c r="D1098" s="102"/>
      <c r="E1098" s="101"/>
      <c r="F1098" s="102"/>
    </row>
    <row r="1099" ht="12.75" customHeight="1">
      <c r="A1099" s="102"/>
      <c r="B1099" s="103"/>
      <c r="C1099" s="41"/>
      <c r="D1099" s="102"/>
      <c r="E1099" s="101"/>
      <c r="F1099" s="102"/>
    </row>
    <row r="1100" ht="12.75" customHeight="1">
      <c r="A1100" s="102"/>
      <c r="B1100" s="103"/>
      <c r="C1100" s="41"/>
      <c r="D1100" s="102"/>
      <c r="E1100" s="101"/>
      <c r="F1100" s="102"/>
    </row>
    <row r="1101" ht="12.75" customHeight="1">
      <c r="A1101" s="102"/>
      <c r="B1101" s="103"/>
      <c r="C1101" s="41"/>
      <c r="D1101" s="102"/>
      <c r="E1101" s="101"/>
      <c r="F1101" s="102"/>
    </row>
    <row r="1102" ht="12.75" customHeight="1">
      <c r="A1102" s="102"/>
      <c r="B1102" s="103"/>
      <c r="C1102" s="41"/>
      <c r="D1102" s="102"/>
      <c r="E1102" s="101"/>
      <c r="F1102" s="102"/>
    </row>
    <row r="1103" ht="12.75" customHeight="1">
      <c r="A1103" s="102"/>
      <c r="B1103" s="103"/>
      <c r="C1103" s="41"/>
      <c r="D1103" s="102"/>
      <c r="E1103" s="101"/>
      <c r="F1103" s="102"/>
    </row>
    <row r="1104" ht="12.75" customHeight="1">
      <c r="A1104" s="102"/>
      <c r="B1104" s="103"/>
      <c r="C1104" s="41"/>
      <c r="D1104" s="102"/>
      <c r="E1104" s="101"/>
      <c r="F1104" s="102"/>
    </row>
    <row r="1105" ht="12.75" customHeight="1">
      <c r="A1105" s="102"/>
      <c r="B1105" s="103"/>
      <c r="C1105" s="41"/>
      <c r="D1105" s="102"/>
      <c r="E1105" s="101"/>
      <c r="F1105" s="102"/>
    </row>
    <row r="1106" ht="12.75" customHeight="1">
      <c r="A1106" s="102"/>
      <c r="B1106" s="103"/>
      <c r="C1106" s="41"/>
      <c r="D1106" s="102"/>
      <c r="E1106" s="101"/>
      <c r="F1106" s="102"/>
    </row>
    <row r="1107" ht="12.75" customHeight="1">
      <c r="A1107" s="102"/>
      <c r="B1107" s="103"/>
      <c r="C1107" s="41"/>
      <c r="D1107" s="102"/>
      <c r="E1107" s="101"/>
      <c r="F1107" s="102"/>
    </row>
    <row r="1108" ht="12.75" customHeight="1">
      <c r="A1108" s="102"/>
      <c r="B1108" s="103"/>
      <c r="C1108" s="41"/>
      <c r="D1108" s="102"/>
      <c r="E1108" s="101"/>
      <c r="F1108" s="102"/>
    </row>
    <row r="1109" ht="12.75" customHeight="1">
      <c r="A1109" s="102"/>
      <c r="B1109" s="103"/>
      <c r="C1109" s="41"/>
      <c r="D1109" s="102"/>
      <c r="E1109" s="101"/>
      <c r="F1109" s="102"/>
    </row>
    <row r="1110" ht="12.75" customHeight="1">
      <c r="A1110" s="102"/>
      <c r="B1110" s="103"/>
      <c r="C1110" s="41"/>
      <c r="D1110" s="102"/>
      <c r="E1110" s="101"/>
      <c r="F1110" s="102"/>
    </row>
    <row r="1111" ht="12.75" customHeight="1">
      <c r="A1111" s="102"/>
      <c r="B1111" s="103"/>
      <c r="C1111" s="41"/>
      <c r="D1111" s="102"/>
      <c r="E1111" s="101"/>
      <c r="F1111" s="102"/>
    </row>
    <row r="1112" ht="12.75" customHeight="1">
      <c r="A1112" s="102"/>
      <c r="B1112" s="103"/>
      <c r="C1112" s="41"/>
      <c r="D1112" s="102"/>
      <c r="E1112" s="101"/>
      <c r="F1112" s="102"/>
    </row>
    <row r="1113" ht="12.75" customHeight="1">
      <c r="A1113" s="102"/>
      <c r="B1113" s="103"/>
      <c r="C1113" s="41"/>
      <c r="D1113" s="102"/>
      <c r="E1113" s="101"/>
      <c r="F1113" s="102"/>
    </row>
    <row r="1114" ht="12.75" customHeight="1">
      <c r="A1114" s="102"/>
      <c r="B1114" s="103"/>
      <c r="C1114" s="41"/>
      <c r="D1114" s="102"/>
      <c r="E1114" s="101"/>
      <c r="F1114" s="102"/>
    </row>
    <row r="1115" ht="12.75" customHeight="1">
      <c r="A1115" s="102"/>
      <c r="B1115" s="103"/>
      <c r="C1115" s="41"/>
      <c r="D1115" s="102"/>
      <c r="E1115" s="101"/>
      <c r="F1115" s="102"/>
    </row>
    <row r="1116" ht="12.75" customHeight="1">
      <c r="A1116" s="102"/>
      <c r="B1116" s="103"/>
      <c r="C1116" s="41"/>
      <c r="D1116" s="102"/>
      <c r="E1116" s="101"/>
      <c r="F1116" s="102"/>
    </row>
    <row r="1117" ht="12.75" customHeight="1">
      <c r="A1117" s="102"/>
      <c r="B1117" s="103"/>
      <c r="C1117" s="41"/>
      <c r="D1117" s="102"/>
      <c r="E1117" s="101"/>
      <c r="F1117" s="102"/>
    </row>
    <row r="1118" ht="12.75" customHeight="1">
      <c r="A1118" s="102"/>
      <c r="B1118" s="103"/>
      <c r="C1118" s="41"/>
      <c r="D1118" s="102"/>
      <c r="E1118" s="101"/>
      <c r="F1118" s="102"/>
    </row>
    <row r="1119" ht="12.75" customHeight="1">
      <c r="A1119" s="102"/>
      <c r="B1119" s="103"/>
      <c r="C1119" s="41"/>
      <c r="D1119" s="102"/>
      <c r="E1119" s="101"/>
      <c r="F1119" s="102"/>
    </row>
    <row r="1120" ht="12.75" customHeight="1">
      <c r="A1120" s="102"/>
      <c r="B1120" s="103"/>
      <c r="C1120" s="41"/>
      <c r="D1120" s="102"/>
      <c r="E1120" s="101"/>
      <c r="F1120" s="102"/>
    </row>
    <row r="1121" ht="12.75" customHeight="1">
      <c r="A1121" s="102"/>
      <c r="B1121" s="103"/>
      <c r="C1121" s="41"/>
      <c r="D1121" s="102"/>
      <c r="E1121" s="101"/>
      <c r="F1121" s="102"/>
    </row>
    <row r="1122" ht="12.75" customHeight="1">
      <c r="A1122" s="102"/>
      <c r="B1122" s="103"/>
      <c r="C1122" s="41"/>
      <c r="D1122" s="102"/>
      <c r="E1122" s="101"/>
      <c r="F1122" s="102"/>
    </row>
    <row r="1123" ht="12.75" customHeight="1">
      <c r="A1123" s="102"/>
      <c r="B1123" s="103"/>
      <c r="C1123" s="41"/>
      <c r="D1123" s="102"/>
      <c r="E1123" s="101"/>
      <c r="F1123" s="102"/>
    </row>
    <row r="1124" ht="12.75" customHeight="1">
      <c r="A1124" s="102"/>
      <c r="B1124" s="103"/>
      <c r="C1124" s="41"/>
      <c r="D1124" s="102"/>
      <c r="E1124" s="101"/>
      <c r="F1124" s="102"/>
    </row>
    <row r="1125" ht="12.75" customHeight="1">
      <c r="A1125" s="102"/>
      <c r="B1125" s="103"/>
      <c r="C1125" s="41"/>
      <c r="D1125" s="102"/>
      <c r="E1125" s="101"/>
      <c r="F1125" s="102"/>
    </row>
    <row r="1126" ht="12.75" customHeight="1">
      <c r="A1126" s="102"/>
      <c r="B1126" s="103"/>
      <c r="C1126" s="41"/>
      <c r="D1126" s="102"/>
      <c r="E1126" s="101"/>
      <c r="F1126" s="102"/>
    </row>
    <row r="1127" ht="12.75" customHeight="1">
      <c r="A1127" s="102"/>
      <c r="B1127" s="103"/>
      <c r="C1127" s="41"/>
      <c r="D1127" s="102"/>
      <c r="E1127" s="101"/>
      <c r="F1127" s="102"/>
    </row>
    <row r="1128" ht="12.75" customHeight="1">
      <c r="A1128" s="102"/>
      <c r="B1128" s="103"/>
      <c r="C1128" s="41"/>
      <c r="D1128" s="102"/>
      <c r="E1128" s="101"/>
      <c r="F1128" s="102"/>
    </row>
    <row r="1129" ht="12.75" customHeight="1">
      <c r="A1129" s="102"/>
      <c r="B1129" s="103"/>
      <c r="C1129" s="41"/>
      <c r="D1129" s="102"/>
      <c r="E1129" s="101"/>
      <c r="F1129" s="102"/>
    </row>
    <row r="1130" ht="12.75" customHeight="1">
      <c r="A1130" s="102"/>
      <c r="B1130" s="103"/>
      <c r="C1130" s="41"/>
      <c r="D1130" s="102"/>
      <c r="E1130" s="101"/>
      <c r="F1130" s="102"/>
    </row>
    <row r="1131" ht="12.75" customHeight="1">
      <c r="A1131" s="102"/>
      <c r="B1131" s="103"/>
      <c r="C1131" s="41"/>
      <c r="D1131" s="102"/>
      <c r="E1131" s="101"/>
      <c r="F1131" s="102"/>
    </row>
    <row r="1132" ht="12.75" customHeight="1">
      <c r="A1132" s="102"/>
      <c r="B1132" s="103"/>
      <c r="C1132" s="41"/>
      <c r="D1132" s="102"/>
      <c r="E1132" s="101"/>
      <c r="F1132" s="102"/>
    </row>
    <row r="1133" ht="12.75" customHeight="1">
      <c r="A1133" s="102"/>
      <c r="B1133" s="103"/>
      <c r="C1133" s="41"/>
      <c r="D1133" s="102"/>
      <c r="E1133" s="101"/>
      <c r="F1133" s="102"/>
    </row>
    <row r="1134" ht="12.75" customHeight="1">
      <c r="A1134" s="102"/>
      <c r="B1134" s="103"/>
      <c r="C1134" s="41"/>
      <c r="D1134" s="102"/>
      <c r="E1134" s="101"/>
      <c r="F1134" s="102"/>
    </row>
    <row r="1135" ht="12.75" customHeight="1">
      <c r="A1135" s="102"/>
      <c r="B1135" s="103"/>
      <c r="C1135" s="41"/>
      <c r="D1135" s="102"/>
      <c r="E1135" s="101"/>
      <c r="F1135" s="102"/>
    </row>
    <row r="1136" ht="12.75" customHeight="1">
      <c r="A1136" s="102"/>
      <c r="B1136" s="103"/>
      <c r="C1136" s="41"/>
      <c r="D1136" s="102"/>
      <c r="E1136" s="101"/>
      <c r="F1136" s="102"/>
    </row>
    <row r="1137" ht="12.75" customHeight="1">
      <c r="A1137" s="102"/>
      <c r="B1137" s="103"/>
      <c r="C1137" s="41"/>
      <c r="D1137" s="102"/>
      <c r="E1137" s="101"/>
      <c r="F1137" s="102"/>
    </row>
    <row r="1138" ht="12.75" customHeight="1">
      <c r="A1138" s="102"/>
      <c r="B1138" s="103"/>
      <c r="C1138" s="41"/>
      <c r="D1138" s="102"/>
      <c r="E1138" s="101"/>
      <c r="F1138" s="102"/>
    </row>
    <row r="1139" ht="12.75" customHeight="1">
      <c r="A1139" s="102"/>
      <c r="B1139" s="103"/>
      <c r="C1139" s="41"/>
      <c r="D1139" s="102"/>
      <c r="E1139" s="101"/>
      <c r="F1139" s="102"/>
    </row>
    <row r="1140" ht="12.75" customHeight="1">
      <c r="A1140" s="102"/>
      <c r="B1140" s="103"/>
      <c r="C1140" s="41"/>
      <c r="D1140" s="102"/>
      <c r="E1140" s="101"/>
      <c r="F1140" s="102"/>
    </row>
    <row r="1141" ht="12.75" customHeight="1">
      <c r="A1141" s="102"/>
      <c r="B1141" s="103"/>
      <c r="C1141" s="41"/>
      <c r="D1141" s="102"/>
      <c r="E1141" s="101"/>
      <c r="F1141" s="102"/>
    </row>
    <row r="1142" ht="12.75" customHeight="1">
      <c r="A1142" s="102"/>
      <c r="B1142" s="103"/>
      <c r="C1142" s="41"/>
      <c r="D1142" s="102"/>
      <c r="E1142" s="101"/>
      <c r="F1142" s="102"/>
    </row>
    <row r="1143" ht="12.75" customHeight="1">
      <c r="A1143" s="102"/>
      <c r="B1143" s="103"/>
      <c r="C1143" s="41"/>
      <c r="D1143" s="102"/>
      <c r="E1143" s="101"/>
      <c r="F1143" s="102"/>
    </row>
    <row r="1144" ht="12.75" customHeight="1">
      <c r="A1144" s="102"/>
      <c r="B1144" s="103"/>
      <c r="C1144" s="41"/>
      <c r="D1144" s="102"/>
      <c r="E1144" s="101"/>
      <c r="F1144" s="102"/>
    </row>
    <row r="1145" ht="12.75" customHeight="1">
      <c r="A1145" s="102"/>
      <c r="B1145" s="103"/>
      <c r="C1145" s="41"/>
      <c r="D1145" s="102"/>
      <c r="E1145" s="101"/>
      <c r="F1145" s="102"/>
    </row>
    <row r="1146" ht="12.75" customHeight="1">
      <c r="A1146" s="102"/>
      <c r="B1146" s="103"/>
      <c r="C1146" s="41"/>
      <c r="D1146" s="102"/>
      <c r="E1146" s="101"/>
      <c r="F1146" s="102"/>
    </row>
    <row r="1147" ht="12.75" customHeight="1">
      <c r="A1147" s="102"/>
      <c r="B1147" s="103"/>
      <c r="C1147" s="41"/>
      <c r="D1147" s="102"/>
      <c r="E1147" s="101"/>
      <c r="F1147" s="102"/>
    </row>
    <row r="1148" ht="12.75" customHeight="1">
      <c r="A1148" s="102"/>
      <c r="B1148" s="103"/>
      <c r="C1148" s="41"/>
      <c r="D1148" s="102"/>
      <c r="E1148" s="101"/>
      <c r="F1148" s="102"/>
    </row>
    <row r="1149" ht="12.75" customHeight="1">
      <c r="A1149" s="102"/>
      <c r="B1149" s="103"/>
      <c r="C1149" s="41"/>
      <c r="D1149" s="102"/>
      <c r="E1149" s="101"/>
      <c r="F1149" s="102"/>
    </row>
    <row r="1150" ht="12.75" customHeight="1">
      <c r="A1150" s="102"/>
      <c r="B1150" s="103"/>
      <c r="C1150" s="41"/>
      <c r="D1150" s="102"/>
      <c r="E1150" s="101"/>
      <c r="F1150" s="102"/>
    </row>
    <row r="1151" ht="12.75" customHeight="1">
      <c r="A1151" s="102"/>
      <c r="B1151" s="103"/>
      <c r="C1151" s="41"/>
      <c r="D1151" s="102"/>
      <c r="E1151" s="101"/>
      <c r="F1151" s="102"/>
    </row>
    <row r="1152" ht="12.75" customHeight="1">
      <c r="A1152" s="102"/>
      <c r="B1152" s="103"/>
      <c r="C1152" s="41"/>
      <c r="D1152" s="102"/>
      <c r="E1152" s="101"/>
      <c r="F1152" s="102"/>
    </row>
    <row r="1153" ht="12.75" customHeight="1">
      <c r="A1153" s="102"/>
      <c r="B1153" s="103"/>
      <c r="C1153" s="41"/>
      <c r="D1153" s="102"/>
      <c r="E1153" s="101"/>
      <c r="F1153" s="102"/>
    </row>
    <row r="1154" ht="12.75" customHeight="1">
      <c r="A1154" s="102"/>
      <c r="B1154" s="103"/>
      <c r="C1154" s="41"/>
      <c r="D1154" s="102"/>
      <c r="E1154" s="101"/>
      <c r="F1154" s="102"/>
    </row>
    <row r="1155" ht="12.75" customHeight="1">
      <c r="A1155" s="102"/>
      <c r="B1155" s="103"/>
      <c r="C1155" s="41"/>
      <c r="D1155" s="102"/>
      <c r="E1155" s="101"/>
      <c r="F1155" s="102"/>
    </row>
    <row r="1156" ht="12.75" customHeight="1">
      <c r="A1156" s="102"/>
      <c r="B1156" s="103"/>
      <c r="C1156" s="41"/>
      <c r="D1156" s="102"/>
      <c r="E1156" s="101"/>
      <c r="F1156" s="102"/>
    </row>
    <row r="1157" ht="12.75" customHeight="1">
      <c r="A1157" s="102"/>
      <c r="B1157" s="103"/>
      <c r="C1157" s="41"/>
      <c r="D1157" s="102"/>
      <c r="E1157" s="101"/>
      <c r="F1157" s="102"/>
    </row>
    <row r="1158" ht="12.75" customHeight="1">
      <c r="A1158" s="102"/>
      <c r="B1158" s="103"/>
      <c r="C1158" s="41"/>
      <c r="D1158" s="102"/>
      <c r="E1158" s="101"/>
      <c r="F1158" s="102"/>
    </row>
    <row r="1159" ht="12.75" customHeight="1">
      <c r="A1159" s="102"/>
      <c r="B1159" s="103"/>
      <c r="C1159" s="41"/>
      <c r="D1159" s="102"/>
      <c r="E1159" s="101"/>
      <c r="F1159" s="102"/>
    </row>
    <row r="1160" ht="12.75" customHeight="1">
      <c r="A1160" s="102"/>
      <c r="B1160" s="103"/>
      <c r="C1160" s="41"/>
      <c r="D1160" s="102"/>
      <c r="E1160" s="101"/>
      <c r="F1160" s="102"/>
    </row>
    <row r="1161" ht="12.75" customHeight="1">
      <c r="A1161" s="102"/>
      <c r="B1161" s="103"/>
      <c r="C1161" s="41"/>
      <c r="D1161" s="102"/>
      <c r="E1161" s="101"/>
      <c r="F1161" s="102"/>
    </row>
    <row r="1162" ht="12.75" customHeight="1">
      <c r="A1162" s="102"/>
      <c r="B1162" s="103"/>
      <c r="C1162" s="41"/>
      <c r="D1162" s="102"/>
      <c r="E1162" s="101"/>
      <c r="F1162" s="102"/>
    </row>
    <row r="1163" ht="12.75" customHeight="1">
      <c r="A1163" s="102"/>
      <c r="B1163" s="103"/>
      <c r="C1163" s="41"/>
      <c r="D1163" s="102"/>
      <c r="E1163" s="101"/>
      <c r="F1163" s="102"/>
    </row>
    <row r="1164" ht="12.75" customHeight="1">
      <c r="A1164" s="102"/>
      <c r="B1164" s="103"/>
      <c r="C1164" s="41"/>
      <c r="D1164" s="102"/>
      <c r="E1164" s="101"/>
      <c r="F1164" s="102"/>
    </row>
    <row r="1165" ht="12.75" customHeight="1">
      <c r="A1165" s="102"/>
      <c r="B1165" s="103"/>
      <c r="C1165" s="41"/>
      <c r="D1165" s="102"/>
      <c r="E1165" s="101"/>
      <c r="F1165" s="102"/>
    </row>
    <row r="1166" ht="12.75" customHeight="1">
      <c r="A1166" s="102"/>
      <c r="B1166" s="103"/>
      <c r="C1166" s="41"/>
      <c r="D1166" s="102"/>
      <c r="E1166" s="101"/>
      <c r="F1166" s="102"/>
    </row>
    <row r="1167" ht="12.75" customHeight="1">
      <c r="A1167" s="102"/>
      <c r="B1167" s="103"/>
      <c r="C1167" s="41"/>
      <c r="D1167" s="102"/>
      <c r="E1167" s="101"/>
      <c r="F1167" s="102"/>
    </row>
    <row r="1168" ht="12.75" customHeight="1">
      <c r="A1168" s="102"/>
      <c r="B1168" s="103"/>
      <c r="C1168" s="41"/>
      <c r="D1168" s="102"/>
      <c r="E1168" s="101"/>
      <c r="F1168" s="102"/>
    </row>
    <row r="1169" ht="12.75" customHeight="1">
      <c r="A1169" s="102"/>
      <c r="B1169" s="103"/>
      <c r="C1169" s="41"/>
      <c r="D1169" s="102"/>
      <c r="E1169" s="101"/>
      <c r="F1169" s="102"/>
    </row>
    <row r="1170" ht="12.75" customHeight="1">
      <c r="A1170" s="102"/>
      <c r="B1170" s="103"/>
      <c r="C1170" s="41"/>
      <c r="D1170" s="102"/>
      <c r="E1170" s="101"/>
      <c r="F1170" s="102"/>
    </row>
    <row r="1171" ht="12.75" customHeight="1">
      <c r="A1171" s="102"/>
      <c r="B1171" s="103"/>
      <c r="C1171" s="41"/>
      <c r="D1171" s="102"/>
      <c r="E1171" s="101"/>
      <c r="F1171" s="102"/>
    </row>
    <row r="1172" ht="12.75" customHeight="1">
      <c r="A1172" s="102"/>
      <c r="B1172" s="103"/>
      <c r="C1172" s="104"/>
      <c r="D1172" s="102"/>
      <c r="E1172" s="101"/>
      <c r="F1172" s="102"/>
    </row>
    <row r="1173" ht="12.75" customHeight="1">
      <c r="A1173" s="102"/>
      <c r="B1173" s="103"/>
      <c r="C1173" s="104"/>
      <c r="D1173" s="102"/>
      <c r="E1173" s="101"/>
      <c r="F1173" s="102"/>
    </row>
    <row r="1174" ht="12.75" customHeight="1">
      <c r="A1174" s="102"/>
      <c r="B1174" s="103"/>
      <c r="C1174" s="104"/>
      <c r="D1174" s="102"/>
      <c r="E1174" s="101"/>
      <c r="F1174" s="102"/>
    </row>
    <row r="1175" ht="12.75" customHeight="1">
      <c r="A1175" s="102"/>
      <c r="B1175" s="103"/>
      <c r="C1175" s="104"/>
      <c r="D1175" s="102"/>
      <c r="E1175" s="101"/>
      <c r="F1175" s="102"/>
    </row>
    <row r="1176" ht="12.75" customHeight="1">
      <c r="A1176" s="102"/>
      <c r="B1176" s="103"/>
      <c r="C1176" s="104"/>
      <c r="D1176" s="102"/>
      <c r="E1176" s="101"/>
      <c r="F1176" s="102"/>
    </row>
    <row r="1177" ht="12.75" customHeight="1">
      <c r="A1177" s="102"/>
      <c r="B1177" s="103"/>
      <c r="C1177" s="104"/>
      <c r="D1177" s="102"/>
      <c r="E1177" s="101"/>
      <c r="F1177" s="102"/>
    </row>
    <row r="1178" ht="12.75" customHeight="1">
      <c r="A1178" s="102"/>
      <c r="B1178" s="103"/>
      <c r="C1178" s="104"/>
      <c r="D1178" s="102"/>
      <c r="E1178" s="101"/>
      <c r="F1178" s="102"/>
    </row>
    <row r="1179" ht="12.75" customHeight="1">
      <c r="A1179" s="102"/>
      <c r="B1179" s="103"/>
      <c r="C1179" s="104"/>
      <c r="D1179" s="102"/>
      <c r="E1179" s="101"/>
      <c r="F1179" s="102"/>
    </row>
    <row r="1180" ht="12.75" customHeight="1">
      <c r="A1180" s="102"/>
      <c r="B1180" s="103"/>
      <c r="C1180" s="104"/>
      <c r="D1180" s="102"/>
      <c r="E1180" s="101"/>
      <c r="F1180" s="102"/>
    </row>
    <row r="1181" ht="12.75" customHeight="1">
      <c r="A1181" s="102"/>
      <c r="B1181" s="103"/>
      <c r="C1181" s="104"/>
      <c r="D1181" s="102"/>
      <c r="E1181" s="101"/>
      <c r="F1181" s="102"/>
    </row>
    <row r="1182" ht="12.75" customHeight="1">
      <c r="A1182" s="102"/>
      <c r="B1182" s="103"/>
      <c r="C1182" s="104"/>
      <c r="D1182" s="102"/>
      <c r="E1182" s="101"/>
      <c r="F1182" s="102"/>
    </row>
    <row r="1183" ht="12.75" customHeight="1">
      <c r="A1183" s="102"/>
      <c r="B1183" s="103"/>
      <c r="C1183" s="104"/>
      <c r="D1183" s="102"/>
      <c r="E1183" s="101"/>
      <c r="F1183" s="102"/>
    </row>
    <row r="1184" ht="12.75" customHeight="1">
      <c r="A1184" s="102"/>
      <c r="B1184" s="103"/>
      <c r="C1184" s="104"/>
      <c r="D1184" s="102"/>
      <c r="E1184" s="101"/>
      <c r="F1184" s="102"/>
    </row>
    <row r="1185" ht="12.75" customHeight="1">
      <c r="A1185" s="102"/>
      <c r="B1185" s="103"/>
      <c r="C1185" s="104"/>
      <c r="D1185" s="102"/>
      <c r="E1185" s="101"/>
      <c r="F1185" s="102"/>
    </row>
    <row r="1186" ht="12.75" customHeight="1">
      <c r="A1186" s="102"/>
      <c r="B1186" s="103"/>
      <c r="C1186" s="104"/>
      <c r="D1186" s="102"/>
      <c r="E1186" s="101"/>
      <c r="F1186" s="102"/>
    </row>
    <row r="1187" ht="12.75" customHeight="1">
      <c r="A1187" s="102"/>
      <c r="B1187" s="103"/>
      <c r="C1187" s="104"/>
      <c r="D1187" s="102"/>
      <c r="E1187" s="101"/>
      <c r="F1187" s="102"/>
    </row>
    <row r="1188" ht="12.75" customHeight="1">
      <c r="A1188" s="102"/>
      <c r="B1188" s="103"/>
      <c r="C1188" s="104"/>
      <c r="D1188" s="102"/>
      <c r="E1188" s="101"/>
      <c r="F1188" s="102"/>
    </row>
    <row r="1189" ht="12.75" customHeight="1">
      <c r="A1189" s="102"/>
      <c r="B1189" s="103"/>
      <c r="C1189" s="104"/>
      <c r="D1189" s="102"/>
      <c r="E1189" s="101"/>
      <c r="F1189" s="102"/>
    </row>
    <row r="1190" ht="12.75" customHeight="1">
      <c r="A1190" s="102"/>
      <c r="B1190" s="103"/>
      <c r="C1190" s="104"/>
      <c r="D1190" s="102"/>
      <c r="E1190" s="101"/>
      <c r="F1190" s="102"/>
    </row>
    <row r="1191" ht="12.75" customHeight="1">
      <c r="A1191" s="102"/>
      <c r="B1191" s="103"/>
      <c r="C1191" s="104"/>
      <c r="D1191" s="102"/>
      <c r="E1191" s="101"/>
      <c r="F1191" s="102"/>
    </row>
    <row r="1192" ht="12.75" customHeight="1">
      <c r="A1192" s="102"/>
      <c r="B1192" s="103"/>
      <c r="C1192" s="104"/>
      <c r="D1192" s="102"/>
      <c r="E1192" s="101"/>
      <c r="F1192" s="102"/>
    </row>
    <row r="1193" ht="12.75" customHeight="1">
      <c r="A1193" s="102"/>
      <c r="B1193" s="103"/>
      <c r="C1193" s="104"/>
      <c r="D1193" s="102"/>
      <c r="E1193" s="101"/>
      <c r="F1193" s="102"/>
    </row>
    <row r="1194" ht="12.75" customHeight="1">
      <c r="A1194" s="102"/>
      <c r="B1194" s="103"/>
      <c r="C1194" s="104"/>
      <c r="D1194" s="102"/>
      <c r="E1194" s="101"/>
      <c r="F1194" s="102"/>
    </row>
    <row r="1195" ht="12.75" customHeight="1">
      <c r="A1195" s="102"/>
      <c r="B1195" s="103"/>
      <c r="C1195" s="104"/>
      <c r="D1195" s="102"/>
      <c r="E1195" s="101"/>
      <c r="F1195" s="102"/>
    </row>
    <row r="1196" ht="12.75" customHeight="1">
      <c r="A1196" s="102"/>
      <c r="B1196" s="103"/>
      <c r="C1196" s="104"/>
      <c r="D1196" s="102"/>
      <c r="E1196" s="101"/>
      <c r="F1196" s="102"/>
    </row>
    <row r="1197" ht="12.75" customHeight="1">
      <c r="A1197" s="102"/>
      <c r="B1197" s="103"/>
      <c r="C1197" s="104"/>
      <c r="D1197" s="102"/>
      <c r="E1197" s="101"/>
      <c r="F1197" s="102"/>
    </row>
    <row r="1198" ht="12.75" customHeight="1">
      <c r="A1198" s="102"/>
      <c r="B1198" s="103"/>
      <c r="C1198" s="104"/>
      <c r="D1198" s="102"/>
      <c r="E1198" s="101"/>
      <c r="F1198" s="102"/>
    </row>
    <row r="1199" ht="12.75" customHeight="1">
      <c r="A1199" s="102"/>
      <c r="B1199" s="103"/>
      <c r="C1199" s="104"/>
      <c r="D1199" s="102"/>
      <c r="E1199" s="101"/>
      <c r="F1199" s="102"/>
    </row>
    <row r="1200" ht="12.75" customHeight="1">
      <c r="A1200" s="102"/>
      <c r="B1200" s="103"/>
      <c r="C1200" s="104"/>
      <c r="D1200" s="102"/>
      <c r="E1200" s="101"/>
      <c r="F1200" s="102"/>
    </row>
    <row r="1201" ht="12.75" customHeight="1">
      <c r="A1201" s="102"/>
      <c r="B1201" s="103"/>
      <c r="C1201" s="104"/>
      <c r="D1201" s="102"/>
      <c r="E1201" s="101"/>
      <c r="F1201" s="102"/>
    </row>
    <row r="1202" ht="12.75" customHeight="1">
      <c r="A1202" s="102"/>
      <c r="B1202" s="103"/>
      <c r="C1202" s="104"/>
      <c r="D1202" s="102"/>
      <c r="E1202" s="101"/>
      <c r="F1202" s="102"/>
    </row>
    <row r="1203" ht="12.75" customHeight="1">
      <c r="A1203" s="102"/>
      <c r="B1203" s="103"/>
      <c r="C1203" s="104"/>
      <c r="D1203" s="102"/>
      <c r="E1203" s="101"/>
      <c r="F1203" s="102"/>
    </row>
    <row r="1204" ht="12.75" customHeight="1">
      <c r="A1204" s="102"/>
      <c r="B1204" s="103"/>
      <c r="C1204" s="104"/>
      <c r="D1204" s="102"/>
      <c r="E1204" s="101"/>
      <c r="F1204" s="102"/>
    </row>
    <row r="1205" ht="12.75" customHeight="1">
      <c r="A1205" s="102"/>
      <c r="B1205" s="103"/>
      <c r="C1205" s="104"/>
      <c r="D1205" s="102"/>
      <c r="E1205" s="101"/>
      <c r="F1205" s="102"/>
    </row>
    <row r="1206" ht="12.75" customHeight="1">
      <c r="A1206" s="102"/>
      <c r="B1206" s="103"/>
      <c r="C1206" s="104"/>
      <c r="D1206" s="102"/>
      <c r="E1206" s="101"/>
      <c r="F1206" s="102"/>
    </row>
    <row r="1207" ht="12.75" customHeight="1">
      <c r="A1207" s="102"/>
      <c r="B1207" s="103"/>
      <c r="C1207" s="104"/>
      <c r="D1207" s="102"/>
      <c r="E1207" s="101"/>
      <c r="F1207" s="102"/>
    </row>
    <row r="1208" ht="12.75" customHeight="1">
      <c r="A1208" s="102"/>
      <c r="B1208" s="103"/>
      <c r="C1208" s="104"/>
      <c r="D1208" s="102"/>
      <c r="E1208" s="101"/>
      <c r="F1208" s="102"/>
    </row>
    <row r="1209" ht="12.75" customHeight="1">
      <c r="A1209" s="102"/>
      <c r="B1209" s="103"/>
      <c r="C1209" s="104"/>
      <c r="D1209" s="102"/>
      <c r="E1209" s="101"/>
      <c r="F1209" s="102"/>
    </row>
    <row r="1210" ht="12.75" customHeight="1">
      <c r="A1210" s="102"/>
      <c r="B1210" s="103"/>
      <c r="C1210" s="104"/>
      <c r="D1210" s="102"/>
      <c r="E1210" s="101"/>
      <c r="F1210" s="102"/>
    </row>
    <row r="1211" ht="12.75" customHeight="1">
      <c r="A1211" s="102"/>
      <c r="B1211" s="103"/>
      <c r="C1211" s="104"/>
      <c r="D1211" s="102"/>
      <c r="E1211" s="101"/>
      <c r="F1211" s="102"/>
    </row>
    <row r="1212" ht="12.75" customHeight="1">
      <c r="A1212" s="102"/>
      <c r="B1212" s="103"/>
      <c r="C1212" s="104"/>
      <c r="D1212" s="102"/>
      <c r="E1212" s="101"/>
      <c r="F1212" s="102"/>
    </row>
    <row r="1213" ht="12.75" customHeight="1">
      <c r="A1213" s="102"/>
      <c r="B1213" s="103"/>
      <c r="C1213" s="104"/>
      <c r="D1213" s="102"/>
      <c r="E1213" s="101"/>
      <c r="F1213" s="102"/>
    </row>
    <row r="1214" ht="12.75" customHeight="1">
      <c r="A1214" s="102"/>
      <c r="B1214" s="103"/>
      <c r="C1214" s="104"/>
      <c r="D1214" s="102"/>
      <c r="E1214" s="101"/>
      <c r="F1214" s="102"/>
    </row>
    <row r="1215" ht="12.75" customHeight="1">
      <c r="A1215" s="102"/>
      <c r="B1215" s="103"/>
      <c r="C1215" s="104"/>
      <c r="D1215" s="102"/>
      <c r="E1215" s="101"/>
      <c r="F1215" s="102"/>
    </row>
    <row r="1216" ht="12.75" customHeight="1">
      <c r="A1216" s="102"/>
      <c r="B1216" s="103"/>
      <c r="C1216" s="104"/>
      <c r="D1216" s="102"/>
      <c r="E1216" s="101"/>
      <c r="F1216" s="102"/>
    </row>
    <row r="1217" ht="12.75" customHeight="1">
      <c r="A1217" s="102"/>
      <c r="B1217" s="103"/>
      <c r="C1217" s="104"/>
      <c r="D1217" s="102"/>
      <c r="E1217" s="101"/>
      <c r="F1217" s="102"/>
    </row>
    <row r="1218" ht="12.75" customHeight="1">
      <c r="A1218" s="102"/>
      <c r="B1218" s="103"/>
      <c r="C1218" s="104"/>
      <c r="D1218" s="102"/>
      <c r="E1218" s="101"/>
      <c r="F1218" s="102"/>
    </row>
    <row r="1219" ht="12.75" customHeight="1">
      <c r="A1219" s="102"/>
      <c r="B1219" s="103"/>
      <c r="C1219" s="104"/>
      <c r="D1219" s="102"/>
      <c r="E1219" s="101"/>
      <c r="F1219" s="102"/>
    </row>
    <row r="1220" ht="12.75" customHeight="1">
      <c r="A1220" s="102"/>
      <c r="B1220" s="103"/>
      <c r="C1220" s="104"/>
      <c r="D1220" s="102"/>
      <c r="E1220" s="101"/>
      <c r="F1220" s="102"/>
    </row>
    <row r="1221" ht="12.75" customHeight="1">
      <c r="A1221" s="102"/>
      <c r="B1221" s="103"/>
      <c r="C1221" s="104"/>
      <c r="D1221" s="102"/>
      <c r="E1221" s="101"/>
      <c r="F1221" s="102"/>
    </row>
    <row r="1222" ht="12.75" customHeight="1">
      <c r="A1222" s="102"/>
      <c r="B1222" s="103"/>
      <c r="C1222" s="104"/>
      <c r="D1222" s="102"/>
      <c r="E1222" s="101"/>
      <c r="F1222" s="102"/>
    </row>
    <row r="1223" ht="12.75" customHeight="1">
      <c r="A1223" s="102"/>
      <c r="B1223" s="103"/>
      <c r="C1223" s="104"/>
      <c r="D1223" s="102"/>
      <c r="E1223" s="101"/>
      <c r="F1223" s="102"/>
    </row>
    <row r="1224" ht="12.75" customHeight="1">
      <c r="A1224" s="102"/>
      <c r="B1224" s="103"/>
      <c r="C1224" s="104"/>
      <c r="D1224" s="102"/>
      <c r="E1224" s="101"/>
      <c r="F1224" s="102"/>
    </row>
    <row r="1225" ht="12.75" customHeight="1">
      <c r="A1225" s="102"/>
      <c r="B1225" s="103"/>
      <c r="C1225" s="104"/>
      <c r="D1225" s="102"/>
      <c r="E1225" s="101"/>
      <c r="F1225" s="102"/>
    </row>
    <row r="1226" ht="12.75" customHeight="1">
      <c r="A1226" s="102"/>
      <c r="B1226" s="103"/>
      <c r="C1226" s="104"/>
      <c r="D1226" s="102"/>
      <c r="E1226" s="101"/>
      <c r="F1226" s="102"/>
    </row>
    <row r="1227" ht="12.75" customHeight="1">
      <c r="A1227" s="102"/>
      <c r="B1227" s="103"/>
      <c r="C1227" s="104"/>
      <c r="D1227" s="102"/>
      <c r="E1227" s="101"/>
      <c r="F1227" s="102"/>
    </row>
    <row r="1228" ht="12.75" customHeight="1">
      <c r="A1228" s="102"/>
      <c r="B1228" s="103"/>
      <c r="C1228" s="104"/>
      <c r="D1228" s="102"/>
      <c r="E1228" s="101"/>
      <c r="F1228" s="102"/>
    </row>
    <row r="1229" ht="12.75" customHeight="1">
      <c r="A1229" s="102"/>
      <c r="B1229" s="103"/>
      <c r="C1229" s="104"/>
      <c r="D1229" s="102"/>
      <c r="E1229" s="101"/>
      <c r="F1229" s="102"/>
    </row>
    <row r="1230" ht="12.75" customHeight="1">
      <c r="A1230" s="102"/>
      <c r="B1230" s="103"/>
      <c r="C1230" s="104"/>
      <c r="D1230" s="102"/>
      <c r="E1230" s="101"/>
      <c r="F1230" s="102"/>
    </row>
    <row r="1231" ht="12.75" customHeight="1">
      <c r="A1231" s="102"/>
      <c r="B1231" s="103"/>
      <c r="C1231" s="104"/>
      <c r="D1231" s="102"/>
      <c r="E1231" s="101"/>
      <c r="F1231" s="102"/>
    </row>
    <row r="1232" ht="12.75" customHeight="1">
      <c r="A1232" s="102"/>
      <c r="B1232" s="103"/>
      <c r="C1232" s="104"/>
      <c r="D1232" s="102"/>
      <c r="E1232" s="101"/>
      <c r="F1232" s="102"/>
    </row>
    <row r="1233" ht="12.75" customHeight="1">
      <c r="A1233" s="102"/>
      <c r="B1233" s="103"/>
      <c r="C1233" s="104"/>
      <c r="D1233" s="102"/>
      <c r="E1233" s="101"/>
      <c r="F1233" s="102"/>
    </row>
    <row r="1234" ht="12.75" customHeight="1">
      <c r="A1234" s="102"/>
      <c r="B1234" s="103"/>
      <c r="C1234" s="104"/>
      <c r="D1234" s="102"/>
      <c r="E1234" s="101"/>
      <c r="F1234" s="102"/>
    </row>
    <row r="1235" ht="12.75" customHeight="1">
      <c r="A1235" s="102"/>
      <c r="B1235" s="103"/>
      <c r="C1235" s="104"/>
      <c r="D1235" s="102"/>
      <c r="E1235" s="101"/>
      <c r="F1235" s="102"/>
    </row>
    <row r="1236" ht="12.75" customHeight="1">
      <c r="A1236" s="102"/>
      <c r="B1236" s="103"/>
      <c r="C1236" s="104"/>
      <c r="D1236" s="102"/>
      <c r="E1236" s="101"/>
      <c r="F1236" s="102"/>
    </row>
    <row r="1237" ht="12.75" customHeight="1">
      <c r="A1237" s="102"/>
      <c r="B1237" s="103"/>
      <c r="C1237" s="104"/>
      <c r="D1237" s="102"/>
      <c r="E1237" s="101"/>
      <c r="F1237" s="102"/>
    </row>
    <row r="1238" ht="12.75" customHeight="1">
      <c r="A1238" s="102"/>
      <c r="B1238" s="103"/>
      <c r="C1238" s="104"/>
      <c r="D1238" s="102"/>
      <c r="E1238" s="101"/>
      <c r="F1238" s="102"/>
    </row>
    <row r="1239" ht="12.75" customHeight="1">
      <c r="A1239" s="102"/>
      <c r="B1239" s="103"/>
      <c r="C1239" s="104"/>
      <c r="D1239" s="102"/>
      <c r="E1239" s="101"/>
      <c r="F1239" s="102"/>
    </row>
    <row r="1240" ht="12.75" customHeight="1">
      <c r="A1240" s="102"/>
      <c r="B1240" s="103"/>
      <c r="C1240" s="104"/>
      <c r="D1240" s="102"/>
      <c r="E1240" s="101"/>
      <c r="F1240" s="102"/>
    </row>
    <row r="1241" ht="12.75" customHeight="1">
      <c r="A1241" s="102"/>
      <c r="B1241" s="103"/>
      <c r="C1241" s="104"/>
      <c r="D1241" s="102"/>
      <c r="E1241" s="101"/>
      <c r="F1241" s="102"/>
    </row>
    <row r="1242" ht="12.75" customHeight="1">
      <c r="A1242" s="102"/>
      <c r="B1242" s="103"/>
      <c r="C1242" s="104"/>
      <c r="D1242" s="102"/>
      <c r="E1242" s="101"/>
      <c r="F1242" s="102"/>
    </row>
    <row r="1243" ht="12.75" customHeight="1">
      <c r="A1243" s="102"/>
      <c r="B1243" s="103"/>
      <c r="C1243" s="104"/>
      <c r="D1243" s="102"/>
      <c r="E1243" s="101"/>
      <c r="F1243" s="102"/>
    </row>
    <row r="1244" ht="12.75" customHeight="1">
      <c r="A1244" s="102"/>
      <c r="B1244" s="103"/>
      <c r="C1244" s="104"/>
      <c r="D1244" s="102"/>
      <c r="E1244" s="101"/>
      <c r="F1244" s="102"/>
    </row>
    <row r="1245" ht="12.75" customHeight="1">
      <c r="A1245" s="102"/>
      <c r="B1245" s="103"/>
      <c r="C1245" s="104"/>
      <c r="D1245" s="102"/>
      <c r="E1245" s="101"/>
      <c r="F1245" s="102"/>
    </row>
    <row r="1246" ht="12.75" customHeight="1">
      <c r="A1246" s="102"/>
      <c r="B1246" s="103"/>
      <c r="C1246" s="104"/>
      <c r="D1246" s="102"/>
      <c r="E1246" s="101"/>
      <c r="F1246" s="102"/>
    </row>
    <row r="1247" ht="12.75" customHeight="1">
      <c r="A1247" s="102"/>
      <c r="B1247" s="103"/>
      <c r="C1247" s="104"/>
      <c r="D1247" s="102"/>
      <c r="E1247" s="101"/>
      <c r="F1247" s="102"/>
    </row>
    <row r="1248" ht="12.75" customHeight="1">
      <c r="A1248" s="102"/>
      <c r="B1248" s="103"/>
      <c r="C1248" s="104"/>
      <c r="D1248" s="102"/>
      <c r="E1248" s="101"/>
      <c r="F1248" s="102"/>
    </row>
    <row r="1249" ht="12.75" customHeight="1">
      <c r="A1249" s="102"/>
      <c r="B1249" s="103"/>
      <c r="C1249" s="104"/>
      <c r="D1249" s="102"/>
      <c r="E1249" s="101"/>
      <c r="F1249" s="102"/>
    </row>
    <row r="1250" ht="12.75" customHeight="1">
      <c r="A1250" s="102"/>
      <c r="B1250" s="103"/>
      <c r="C1250" s="104"/>
      <c r="D1250" s="102"/>
      <c r="E1250" s="101"/>
      <c r="F1250" s="102"/>
    </row>
    <row r="1251" ht="12.75" customHeight="1">
      <c r="A1251" s="102"/>
      <c r="B1251" s="103"/>
      <c r="C1251" s="104"/>
      <c r="D1251" s="102"/>
      <c r="E1251" s="101"/>
      <c r="F1251" s="102"/>
    </row>
    <row r="1252" ht="12.75" customHeight="1">
      <c r="A1252" s="102"/>
      <c r="B1252" s="103"/>
      <c r="C1252" s="104"/>
      <c r="D1252" s="102"/>
      <c r="E1252" s="101"/>
      <c r="F1252" s="102"/>
    </row>
    <row r="1253" ht="12.75" customHeight="1">
      <c r="A1253" s="102"/>
      <c r="B1253" s="103"/>
      <c r="C1253" s="104"/>
      <c r="D1253" s="102"/>
      <c r="E1253" s="101"/>
      <c r="F1253" s="102"/>
    </row>
    <row r="1254" ht="12.75" customHeight="1">
      <c r="A1254" s="102"/>
      <c r="B1254" s="103"/>
      <c r="C1254" s="104"/>
      <c r="D1254" s="102"/>
      <c r="E1254" s="101"/>
      <c r="F1254" s="102"/>
    </row>
    <row r="1255" ht="12.75" customHeight="1">
      <c r="A1255" s="102"/>
      <c r="B1255" s="103"/>
      <c r="C1255" s="104"/>
      <c r="D1255" s="102"/>
      <c r="E1255" s="101"/>
      <c r="F1255" s="102"/>
    </row>
    <row r="1256" ht="12.75" customHeight="1">
      <c r="A1256" s="102"/>
      <c r="B1256" s="103"/>
      <c r="C1256" s="104"/>
      <c r="D1256" s="102"/>
      <c r="E1256" s="101"/>
      <c r="F1256" s="102"/>
    </row>
    <row r="1257" ht="12.75" customHeight="1">
      <c r="A1257" s="102"/>
      <c r="B1257" s="103"/>
      <c r="C1257" s="104"/>
      <c r="D1257" s="102"/>
      <c r="E1257" s="101"/>
      <c r="F1257" s="102"/>
    </row>
    <row r="1258" ht="12.75" customHeight="1">
      <c r="A1258" s="102"/>
      <c r="B1258" s="103"/>
      <c r="C1258" s="104"/>
      <c r="D1258" s="102"/>
      <c r="E1258" s="101"/>
      <c r="F1258" s="102"/>
    </row>
    <row r="1259" ht="12.75" customHeight="1">
      <c r="A1259" s="102"/>
      <c r="B1259" s="103"/>
      <c r="C1259" s="104"/>
      <c r="D1259" s="102"/>
      <c r="E1259" s="101"/>
      <c r="F1259" s="102"/>
    </row>
    <row r="1260" ht="12.75" customHeight="1">
      <c r="A1260" s="102"/>
      <c r="B1260" s="103"/>
      <c r="C1260" s="104"/>
      <c r="D1260" s="102"/>
      <c r="E1260" s="101"/>
      <c r="F1260" s="102"/>
    </row>
    <row r="1261" ht="12.75" customHeight="1">
      <c r="A1261" s="102"/>
      <c r="B1261" s="103"/>
      <c r="C1261" s="104"/>
      <c r="D1261" s="102"/>
      <c r="E1261" s="101"/>
      <c r="F1261" s="102"/>
    </row>
    <row r="1262" ht="12.75" customHeight="1">
      <c r="A1262" s="102"/>
      <c r="B1262" s="103"/>
      <c r="C1262" s="104"/>
      <c r="D1262" s="102"/>
      <c r="E1262" s="101"/>
      <c r="F1262" s="102"/>
    </row>
    <row r="1263" ht="12.75" customHeight="1">
      <c r="A1263" s="102"/>
      <c r="B1263" s="103"/>
      <c r="C1263" s="104"/>
      <c r="D1263" s="102"/>
      <c r="E1263" s="101"/>
      <c r="F1263" s="102"/>
    </row>
    <row r="1264" ht="12.75" customHeight="1">
      <c r="A1264" s="102"/>
      <c r="B1264" s="103"/>
      <c r="C1264" s="104"/>
      <c r="D1264" s="102"/>
      <c r="E1264" s="101"/>
      <c r="F1264" s="102"/>
    </row>
    <row r="1265" ht="12.75" customHeight="1">
      <c r="A1265" s="102"/>
      <c r="B1265" s="103"/>
      <c r="C1265" s="104"/>
      <c r="D1265" s="102"/>
      <c r="E1265" s="101"/>
      <c r="F1265" s="102"/>
    </row>
    <row r="1266" ht="12.75" customHeight="1">
      <c r="A1266" s="102"/>
      <c r="B1266" s="103"/>
      <c r="C1266" s="104"/>
      <c r="D1266" s="102"/>
      <c r="E1266" s="101"/>
      <c r="F1266" s="102"/>
    </row>
    <row r="1267" ht="12.75" customHeight="1">
      <c r="A1267" s="102"/>
      <c r="B1267" s="103"/>
      <c r="C1267" s="104"/>
      <c r="D1267" s="102"/>
      <c r="E1267" s="101"/>
      <c r="F1267" s="102"/>
    </row>
    <row r="1268" ht="12.75" customHeight="1">
      <c r="A1268" s="102"/>
      <c r="B1268" s="103"/>
      <c r="C1268" s="104"/>
      <c r="D1268" s="102"/>
      <c r="E1268" s="101"/>
      <c r="F1268" s="102"/>
    </row>
    <row r="1269" ht="12.75" customHeight="1">
      <c r="A1269" s="102"/>
      <c r="B1269" s="103"/>
      <c r="C1269" s="104"/>
      <c r="D1269" s="102"/>
      <c r="E1269" s="101"/>
      <c r="F1269" s="102"/>
    </row>
    <row r="1270" ht="12.75" customHeight="1">
      <c r="A1270" s="102"/>
      <c r="B1270" s="103"/>
      <c r="C1270" s="104"/>
      <c r="D1270" s="102"/>
      <c r="E1270" s="101"/>
      <c r="F1270" s="102"/>
    </row>
    <row r="1271" ht="12.75" customHeight="1">
      <c r="A1271" s="102"/>
      <c r="B1271" s="103"/>
      <c r="C1271" s="104"/>
      <c r="D1271" s="102"/>
      <c r="E1271" s="101"/>
      <c r="F1271" s="102"/>
    </row>
    <row r="1272" ht="12.75" customHeight="1">
      <c r="A1272" s="102"/>
      <c r="B1272" s="103"/>
      <c r="C1272" s="104"/>
      <c r="D1272" s="102"/>
      <c r="E1272" s="101"/>
      <c r="F1272" s="102"/>
    </row>
    <row r="1273" ht="12.75" customHeight="1">
      <c r="A1273" s="102"/>
      <c r="B1273" s="103"/>
      <c r="C1273" s="104"/>
      <c r="D1273" s="102"/>
      <c r="E1273" s="101"/>
      <c r="F1273" s="102"/>
    </row>
    <row r="1274" ht="12.75" customHeight="1">
      <c r="A1274" s="102"/>
      <c r="B1274" s="103"/>
      <c r="C1274" s="104"/>
      <c r="D1274" s="102"/>
      <c r="E1274" s="101"/>
      <c r="F1274" s="102"/>
    </row>
    <row r="1275" ht="12.75" customHeight="1">
      <c r="A1275" s="102"/>
      <c r="B1275" s="103"/>
      <c r="C1275" s="104"/>
      <c r="D1275" s="102"/>
      <c r="E1275" s="101"/>
      <c r="F1275" s="102"/>
    </row>
    <row r="1276" ht="12.75" customHeight="1">
      <c r="A1276" s="102"/>
      <c r="B1276" s="103"/>
      <c r="C1276" s="104"/>
      <c r="D1276" s="102"/>
      <c r="E1276" s="101"/>
      <c r="F1276" s="102"/>
    </row>
    <row r="1277" ht="12.75" customHeight="1">
      <c r="A1277" s="102"/>
      <c r="B1277" s="103"/>
      <c r="C1277" s="104"/>
      <c r="D1277" s="102"/>
      <c r="E1277" s="101"/>
      <c r="F1277" s="102"/>
    </row>
    <row r="1278" ht="12.75" customHeight="1">
      <c r="A1278" s="102"/>
      <c r="B1278" s="103"/>
      <c r="C1278" s="104"/>
      <c r="D1278" s="102"/>
      <c r="E1278" s="101"/>
      <c r="F1278" s="102"/>
    </row>
    <row r="1279" ht="12.75" customHeight="1">
      <c r="A1279" s="102"/>
      <c r="B1279" s="103"/>
      <c r="C1279" s="104"/>
      <c r="D1279" s="102"/>
      <c r="E1279" s="101"/>
      <c r="F1279" s="102"/>
    </row>
    <row r="1280" ht="12.75" customHeight="1">
      <c r="A1280" s="102"/>
      <c r="B1280" s="103"/>
      <c r="C1280" s="104"/>
      <c r="D1280" s="102"/>
      <c r="E1280" s="101"/>
      <c r="F1280" s="102"/>
    </row>
    <row r="1281" ht="12.75" customHeight="1">
      <c r="A1281" s="102"/>
      <c r="B1281" s="103"/>
      <c r="C1281" s="104"/>
      <c r="D1281" s="102"/>
      <c r="E1281" s="101"/>
      <c r="F1281" s="102"/>
    </row>
    <row r="1282" ht="12.75" customHeight="1">
      <c r="A1282" s="102"/>
      <c r="B1282" s="103"/>
      <c r="C1282" s="104"/>
      <c r="D1282" s="102"/>
      <c r="E1282" s="101"/>
      <c r="F1282" s="102"/>
    </row>
    <row r="1283" ht="12.75" customHeight="1">
      <c r="A1283" s="102"/>
      <c r="B1283" s="103"/>
      <c r="C1283" s="104"/>
      <c r="D1283" s="102"/>
      <c r="E1283" s="101"/>
      <c r="F1283" s="102"/>
    </row>
    <row r="1284" ht="12.75" customHeight="1">
      <c r="A1284" s="102"/>
      <c r="B1284" s="103"/>
      <c r="C1284" s="104"/>
      <c r="D1284" s="102"/>
      <c r="E1284" s="101"/>
      <c r="F1284" s="102"/>
    </row>
    <row r="1285" ht="12.75" customHeight="1">
      <c r="A1285" s="102"/>
      <c r="B1285" s="103"/>
      <c r="C1285" s="104"/>
      <c r="D1285" s="102"/>
      <c r="E1285" s="101"/>
      <c r="F1285" s="102"/>
    </row>
    <row r="1286" ht="12.75" customHeight="1">
      <c r="A1286" s="102"/>
      <c r="B1286" s="103"/>
      <c r="C1286" s="104"/>
      <c r="D1286" s="102"/>
      <c r="E1286" s="101"/>
      <c r="F1286" s="102"/>
    </row>
    <row r="1287" ht="12.75" customHeight="1">
      <c r="A1287" s="102"/>
      <c r="B1287" s="103"/>
      <c r="C1287" s="104"/>
      <c r="D1287" s="102"/>
      <c r="E1287" s="101"/>
      <c r="F1287" s="102"/>
    </row>
    <row r="1288" ht="12.75" customHeight="1">
      <c r="A1288" s="102"/>
      <c r="B1288" s="103"/>
      <c r="C1288" s="104"/>
      <c r="D1288" s="102"/>
      <c r="E1288" s="101"/>
      <c r="F1288" s="102"/>
    </row>
    <row r="1289" ht="12.75" customHeight="1">
      <c r="A1289" s="102"/>
      <c r="B1289" s="103"/>
      <c r="C1289" s="104"/>
      <c r="D1289" s="102"/>
      <c r="E1289" s="101"/>
      <c r="F1289" s="102"/>
    </row>
    <row r="1290" ht="12.75" customHeight="1">
      <c r="A1290" s="102"/>
      <c r="B1290" s="103"/>
      <c r="C1290" s="104"/>
      <c r="D1290" s="102"/>
      <c r="E1290" s="101"/>
      <c r="F1290" s="102"/>
    </row>
    <row r="1291" ht="12.75" customHeight="1">
      <c r="A1291" s="102"/>
      <c r="B1291" s="103"/>
      <c r="C1291" s="104"/>
      <c r="D1291" s="102"/>
      <c r="E1291" s="101"/>
      <c r="F1291" s="102"/>
    </row>
    <row r="1292" ht="12.75" customHeight="1">
      <c r="A1292" s="102"/>
      <c r="B1292" s="103"/>
      <c r="C1292" s="104"/>
      <c r="D1292" s="102"/>
      <c r="E1292" s="101"/>
      <c r="F1292" s="102"/>
    </row>
    <row r="1293" ht="12.75" customHeight="1">
      <c r="A1293" s="102"/>
      <c r="B1293" s="103"/>
      <c r="C1293" s="104"/>
      <c r="D1293" s="102"/>
      <c r="E1293" s="101"/>
      <c r="F1293" s="102"/>
    </row>
    <row r="1294" ht="12.75" customHeight="1">
      <c r="A1294" s="102"/>
      <c r="B1294" s="103"/>
      <c r="C1294" s="104"/>
      <c r="D1294" s="102"/>
      <c r="E1294" s="101"/>
      <c r="F1294" s="102"/>
    </row>
    <row r="1295" ht="12.75" customHeight="1">
      <c r="A1295" s="102"/>
      <c r="B1295" s="103"/>
      <c r="C1295" s="104"/>
      <c r="D1295" s="102"/>
      <c r="E1295" s="101"/>
      <c r="F1295" s="102"/>
    </row>
    <row r="1296" ht="12.75" customHeight="1">
      <c r="A1296" s="102"/>
      <c r="B1296" s="103"/>
      <c r="C1296" s="104"/>
      <c r="D1296" s="102"/>
      <c r="E1296" s="101"/>
      <c r="F1296" s="102"/>
    </row>
    <row r="1297" ht="12.75" customHeight="1">
      <c r="A1297" s="102"/>
      <c r="B1297" s="103"/>
      <c r="C1297" s="104"/>
      <c r="D1297" s="102"/>
      <c r="E1297" s="101"/>
      <c r="F1297" s="102"/>
    </row>
    <row r="1298" ht="12.75" customHeight="1">
      <c r="A1298" s="102"/>
      <c r="B1298" s="103"/>
      <c r="C1298" s="104"/>
      <c r="D1298" s="102"/>
      <c r="E1298" s="101"/>
      <c r="F1298" s="102"/>
    </row>
    <row r="1299" ht="12.75" customHeight="1">
      <c r="A1299" s="102"/>
      <c r="B1299" s="103"/>
      <c r="C1299" s="104"/>
      <c r="D1299" s="102"/>
      <c r="E1299" s="101"/>
      <c r="F1299" s="102"/>
    </row>
    <row r="1300" ht="12.75" customHeight="1">
      <c r="A1300" s="102"/>
      <c r="B1300" s="103"/>
      <c r="C1300" s="104"/>
      <c r="D1300" s="102"/>
      <c r="E1300" s="101"/>
      <c r="F1300" s="102"/>
    </row>
    <row r="1301" ht="12.75" customHeight="1">
      <c r="A1301" s="102"/>
      <c r="B1301" s="103"/>
      <c r="C1301" s="104"/>
      <c r="D1301" s="102"/>
      <c r="E1301" s="101"/>
      <c r="F1301" s="102"/>
    </row>
    <row r="1302" ht="12.75" customHeight="1">
      <c r="A1302" s="102"/>
      <c r="B1302" s="103"/>
      <c r="C1302" s="104"/>
      <c r="D1302" s="102"/>
      <c r="E1302" s="101"/>
      <c r="F1302" s="102"/>
    </row>
    <row r="1303" ht="12.75" customHeight="1">
      <c r="A1303" s="102"/>
      <c r="B1303" s="103"/>
      <c r="C1303" s="104"/>
      <c r="D1303" s="102"/>
      <c r="E1303" s="101"/>
      <c r="F1303" s="102"/>
    </row>
    <row r="1304" ht="12.75" customHeight="1">
      <c r="A1304" s="102"/>
      <c r="B1304" s="103"/>
      <c r="C1304" s="104"/>
      <c r="D1304" s="102"/>
      <c r="E1304" s="101"/>
      <c r="F1304" s="102"/>
    </row>
    <row r="1305" ht="12.75" customHeight="1">
      <c r="A1305" s="102"/>
      <c r="B1305" s="103"/>
      <c r="C1305" s="104"/>
      <c r="D1305" s="102"/>
      <c r="E1305" s="101"/>
      <c r="F1305" s="102"/>
    </row>
    <row r="1306" ht="12.75" customHeight="1">
      <c r="A1306" s="102"/>
      <c r="B1306" s="103"/>
      <c r="C1306" s="104"/>
      <c r="D1306" s="102"/>
      <c r="E1306" s="101"/>
      <c r="F1306" s="102"/>
    </row>
    <row r="1307" ht="12.75" customHeight="1">
      <c r="A1307" s="102"/>
      <c r="B1307" s="103"/>
      <c r="C1307" s="104"/>
      <c r="D1307" s="102"/>
      <c r="E1307" s="101"/>
      <c r="F1307" s="102"/>
    </row>
    <row r="1308" ht="12.75" customHeight="1">
      <c r="A1308" s="102"/>
      <c r="B1308" s="103"/>
      <c r="C1308" s="104"/>
      <c r="D1308" s="102"/>
      <c r="E1308" s="101"/>
      <c r="F1308" s="102"/>
    </row>
    <row r="1309" ht="12.75" customHeight="1">
      <c r="A1309" s="102"/>
      <c r="B1309" s="103"/>
      <c r="C1309" s="104"/>
      <c r="D1309" s="102"/>
      <c r="E1309" s="101"/>
      <c r="F1309" s="102"/>
    </row>
    <row r="1310" ht="12.75" customHeight="1">
      <c r="A1310" s="102"/>
      <c r="B1310" s="103"/>
      <c r="C1310" s="104"/>
      <c r="D1310" s="102"/>
      <c r="E1310" s="101"/>
      <c r="F1310" s="102"/>
    </row>
    <row r="1311" ht="12.75" customHeight="1">
      <c r="A1311" s="102"/>
      <c r="B1311" s="103"/>
      <c r="C1311" s="104"/>
      <c r="D1311" s="102"/>
      <c r="E1311" s="101"/>
      <c r="F1311" s="102"/>
    </row>
    <row r="1312" ht="12.75" customHeight="1">
      <c r="A1312" s="102"/>
      <c r="B1312" s="103"/>
      <c r="C1312" s="104"/>
      <c r="D1312" s="102"/>
      <c r="E1312" s="101"/>
      <c r="F1312" s="102"/>
    </row>
    <row r="1313" ht="12.75" customHeight="1">
      <c r="A1313" s="102"/>
      <c r="B1313" s="103"/>
      <c r="C1313" s="104"/>
      <c r="D1313" s="102"/>
      <c r="E1313" s="101"/>
      <c r="F1313" s="102"/>
    </row>
    <row r="1314" ht="12.75" customHeight="1">
      <c r="A1314" s="102"/>
      <c r="B1314" s="103"/>
      <c r="C1314" s="104"/>
      <c r="D1314" s="102"/>
      <c r="E1314" s="101"/>
      <c r="F1314" s="102"/>
    </row>
    <row r="1315" ht="12.75" customHeight="1">
      <c r="A1315" s="102"/>
      <c r="B1315" s="103"/>
      <c r="C1315" s="104"/>
      <c r="D1315" s="102"/>
      <c r="E1315" s="101"/>
      <c r="F1315" s="102"/>
    </row>
    <row r="1316" ht="12.75" customHeight="1">
      <c r="A1316" s="102"/>
      <c r="B1316" s="103"/>
      <c r="C1316" s="104"/>
      <c r="D1316" s="102"/>
      <c r="E1316" s="101"/>
      <c r="F1316" s="102"/>
    </row>
    <row r="1317" ht="12.75" customHeight="1">
      <c r="A1317" s="102"/>
      <c r="B1317" s="103"/>
      <c r="C1317" s="104"/>
      <c r="D1317" s="102"/>
      <c r="E1317" s="101"/>
      <c r="F1317" s="102"/>
    </row>
    <row r="1318" ht="12.75" customHeight="1">
      <c r="A1318" s="102"/>
      <c r="B1318" s="103"/>
      <c r="C1318" s="104"/>
      <c r="D1318" s="102"/>
      <c r="E1318" s="101"/>
      <c r="F1318" s="102"/>
    </row>
    <row r="1319" ht="12.75" customHeight="1">
      <c r="A1319" s="102"/>
      <c r="B1319" s="103"/>
      <c r="C1319" s="104"/>
      <c r="D1319" s="102"/>
      <c r="E1319" s="101"/>
      <c r="F1319" s="102"/>
    </row>
    <row r="1320" ht="12.75" customHeight="1">
      <c r="A1320" s="102"/>
      <c r="B1320" s="103"/>
      <c r="C1320" s="104"/>
      <c r="D1320" s="102"/>
      <c r="E1320" s="101"/>
      <c r="F1320" s="102"/>
    </row>
    <row r="1321" ht="12.75" customHeight="1">
      <c r="A1321" s="102"/>
      <c r="B1321" s="103"/>
      <c r="C1321" s="104"/>
      <c r="D1321" s="102"/>
      <c r="E1321" s="101"/>
      <c r="F1321" s="102"/>
    </row>
    <row r="1322" ht="12.75" customHeight="1">
      <c r="A1322" s="102"/>
      <c r="B1322" s="103"/>
      <c r="C1322" s="104"/>
      <c r="D1322" s="102"/>
      <c r="E1322" s="101"/>
      <c r="F1322" s="102"/>
    </row>
    <row r="1323" ht="12.75" customHeight="1">
      <c r="A1323" s="102"/>
      <c r="B1323" s="103"/>
      <c r="C1323" s="104"/>
      <c r="D1323" s="102"/>
      <c r="E1323" s="101"/>
      <c r="F1323" s="102"/>
    </row>
    <row r="1324" ht="12.75" customHeight="1">
      <c r="A1324" s="102"/>
      <c r="B1324" s="103"/>
      <c r="C1324" s="104"/>
      <c r="D1324" s="102"/>
      <c r="E1324" s="101"/>
      <c r="F1324" s="102"/>
    </row>
    <row r="1325" ht="12.75" customHeight="1">
      <c r="A1325" s="102"/>
      <c r="B1325" s="103"/>
      <c r="C1325" s="104"/>
      <c r="D1325" s="102"/>
      <c r="E1325" s="101"/>
      <c r="F1325" s="102"/>
    </row>
    <row r="1326" ht="12.75" customHeight="1">
      <c r="A1326" s="102"/>
      <c r="B1326" s="103"/>
      <c r="C1326" s="104"/>
      <c r="D1326" s="102"/>
      <c r="E1326" s="101"/>
      <c r="F1326" s="102"/>
    </row>
    <row r="1327" ht="12.75" customHeight="1">
      <c r="A1327" s="102"/>
      <c r="B1327" s="103"/>
      <c r="C1327" s="104"/>
      <c r="D1327" s="102"/>
      <c r="E1327" s="101"/>
      <c r="F1327" s="102"/>
    </row>
    <row r="1328" ht="12.75" customHeight="1">
      <c r="A1328" s="102"/>
      <c r="B1328" s="103"/>
      <c r="C1328" s="104"/>
      <c r="D1328" s="102"/>
      <c r="E1328" s="101"/>
      <c r="F1328" s="102"/>
    </row>
    <row r="1329" ht="12.75" customHeight="1">
      <c r="A1329" s="102"/>
      <c r="B1329" s="103"/>
      <c r="C1329" s="104"/>
      <c r="D1329" s="102"/>
      <c r="E1329" s="101"/>
      <c r="F1329" s="102"/>
    </row>
    <row r="1330" ht="12.75" customHeight="1">
      <c r="A1330" s="102"/>
      <c r="B1330" s="103"/>
      <c r="C1330" s="104"/>
      <c r="D1330" s="102"/>
      <c r="E1330" s="101"/>
      <c r="F1330" s="102"/>
    </row>
    <row r="1331" ht="12.75" customHeight="1">
      <c r="A1331" s="102"/>
      <c r="B1331" s="103"/>
      <c r="C1331" s="104"/>
      <c r="D1331" s="102"/>
      <c r="E1331" s="101"/>
      <c r="F1331" s="102"/>
    </row>
    <row r="1332" ht="12.75" customHeight="1">
      <c r="A1332" s="102"/>
      <c r="B1332" s="103"/>
      <c r="C1332" s="104"/>
      <c r="D1332" s="102"/>
      <c r="E1332" s="101"/>
      <c r="F1332" s="102"/>
    </row>
    <row r="1333" ht="12.75" customHeight="1">
      <c r="A1333" s="102"/>
      <c r="B1333" s="103"/>
      <c r="C1333" s="104"/>
      <c r="D1333" s="102"/>
      <c r="E1333" s="101"/>
      <c r="F1333" s="102"/>
    </row>
    <row r="1334" ht="12.75" customHeight="1">
      <c r="A1334" s="102"/>
      <c r="B1334" s="103"/>
      <c r="C1334" s="104"/>
      <c r="D1334" s="102"/>
      <c r="E1334" s="101"/>
      <c r="F1334" s="102"/>
    </row>
  </sheetData>
  <mergeCells count="5">
    <mergeCell ref="A1:F1"/>
    <mergeCell ref="H2:I2"/>
    <mergeCell ref="H11:I11"/>
    <mergeCell ref="H12:I12"/>
    <mergeCell ref="H13:I13"/>
  </mergeCells>
  <conditionalFormatting sqref="H9">
    <cfRule type="containsText" dxfId="9" priority="1" operator="containsText" text="Completed">
      <formula>NOT(ISERROR(SEARCH(("Completed"),(H9))))</formula>
    </cfRule>
  </conditionalFormatting>
  <conditionalFormatting sqref="H9">
    <cfRule type="containsText" dxfId="10" priority="2" operator="containsText" text="Pending">
      <formula>NOT(ISERROR(SEARCH(("Pending"),(H9))))</formula>
    </cfRule>
  </conditionalFormatting>
  <conditionalFormatting sqref="I3:I9">
    <cfRule type="containsText" dxfId="0" priority="3" operator="containsText" text="Done">
      <formula>NOT(ISERROR(SEARCH(("Done"),(I3))))</formula>
    </cfRule>
  </conditionalFormatting>
  <conditionalFormatting sqref="I3:I9">
    <cfRule type="containsText" dxfId="1" priority="4" operator="containsText" text="In Progress">
      <formula>NOT(ISERROR(SEARCH(("In Progress"),(I3))))</formula>
    </cfRule>
  </conditionalFormatting>
  <conditionalFormatting sqref="I3:I9">
    <cfRule type="containsText" dxfId="11" priority="5" operator="containsText" text="Not Started">
      <formula>NOT(ISERROR(SEARCH(("Not Started"),(I3))))</formula>
    </cfRule>
  </conditionalFormatting>
  <conditionalFormatting sqref="I3:I9">
    <cfRule type="containsText" dxfId="3" priority="6" operator="containsText" text="NA">
      <formula>NOT(ISERROR(SEARCH(("NA"),(I3))))</formula>
    </cfRule>
  </conditionalFormatting>
  <conditionalFormatting sqref="I7">
    <cfRule type="containsText" dxfId="12" priority="7" operator="containsText" text="Issue Triggered">
      <formula>NOT(ISERROR(SEARCH(("Issue Triggered"),(I7))))</formula>
    </cfRule>
  </conditionalFormatting>
  <conditionalFormatting sqref="D2 I3:I9">
    <cfRule type="containsText" dxfId="13" priority="8" operator="containsText" text="PASS">
      <formula>NOT(ISERROR(SEARCH(("PASS"),(D2))))</formula>
    </cfRule>
  </conditionalFormatting>
  <conditionalFormatting sqref="D2 I3:I9">
    <cfRule type="containsText" dxfId="14" priority="9" operator="containsText" text="CHECK">
      <formula>NOT(ISERROR(SEARCH(("CHECK"),(D2))))</formula>
    </cfRule>
  </conditionalFormatting>
  <conditionalFormatting sqref="D2 I3:I9">
    <cfRule type="containsText" dxfId="15" priority="10" operator="containsText" text="PROBLEM">
      <formula>NOT(ISERROR(SEARCH(("PROBLEM"),(D2))))</formula>
    </cfRule>
  </conditionalFormatting>
  <conditionalFormatting sqref="D2 I3:I9">
    <cfRule type="containsText" dxfId="16" priority="11" operator="containsText" text="NOT CHECKED">
      <formula>NOT(ISERROR(SEARCH(("NOT CHECKED"),(D2))))</formula>
    </cfRule>
  </conditionalFormatting>
  <conditionalFormatting sqref="D2 I3:I9">
    <cfRule type="containsText" dxfId="17" priority="12" operator="containsText" text="NOT USED">
      <formula>NOT(ISERROR(SEARCH(("NOT USED"),(D2))))</formula>
    </cfRule>
  </conditionalFormatting>
  <conditionalFormatting sqref="D2 I3:I9">
    <cfRule type="containsText" dxfId="18" priority="13" operator="containsText" text="N/A">
      <formula>NOT(ISERROR(SEARCH(("N/A"),(D2))))</formula>
    </cfRule>
  </conditionalFormatting>
  <conditionalFormatting sqref="C3:C1334 E3:E1334">
    <cfRule type="containsText" dxfId="20" priority="14" operator="containsText" text="Suggestion">
      <formula>NOT(ISERROR(SEARCH(("Suggestion"),(C3))))</formula>
    </cfRule>
  </conditionalFormatting>
  <conditionalFormatting sqref="C3:C1334 E3:E1334">
    <cfRule type="containsText" dxfId="12" priority="15" operator="containsText" text="Error">
      <formula>NOT(ISERROR(SEARCH(("Error"),(C3))))</formula>
    </cfRule>
  </conditionalFormatting>
  <conditionalFormatting sqref="E3:E1334 I3:I6">
    <cfRule type="containsText" dxfId="21" priority="16" operator="containsText" text="Accepted">
      <formula>NOT(ISERROR(SEARCH(("Accepted"),(E3))))</formula>
    </cfRule>
  </conditionalFormatting>
  <conditionalFormatting sqref="E3:E1334 I3:I6">
    <cfRule type="containsText" dxfId="22" priority="17" operator="containsText" text="Not Started">
      <formula>NOT(ISERROR(SEARCH(("Not Started"),(E3))))</formula>
    </cfRule>
  </conditionalFormatting>
  <conditionalFormatting sqref="C3:C1334">
    <cfRule type="containsText" dxfId="22" priority="18" operator="containsText" text="Warning">
      <formula>NOT(ISERROR(SEARCH(("Warning"),(C3))))</formula>
    </cfRule>
  </conditionalFormatting>
  <dataValidations>
    <dataValidation type="list" allowBlank="1" showInputMessage="1" showErrorMessage="1" prompt="Select Status" sqref="E3:E1334">
      <formula1>"Accepted,Resolved,Not a problem,Not started"</formula1>
    </dataValidation>
    <dataValidation type="list" allowBlank="1" showInputMessage="1" showErrorMessage="1" prompt="Select Status" sqref="C3:C1334">
      <formula1>"Warning,Suggestion,Error"</formula1>
    </dataValidation>
  </dataValidations>
  <hyperlinks>
    <hyperlink display="Previous" location="'Annexure-I'!A1" ref="H11"/>
    <hyperlink display="Home" location="Overview!A1" ref="H12"/>
    <hyperlink display="Next" location="'Annexure-III'!A1" ref="H13"/>
  </hyperlink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1.75"/>
    <col customWidth="1" min="3" max="3" width="25.0"/>
    <col customWidth="1" min="4" max="4" width="15.0"/>
    <col customWidth="1" min="5" max="5" width="24.5"/>
    <col customWidth="1" min="6" max="6" width="15.63"/>
    <col customWidth="1" min="7" max="7" width="30.5"/>
    <col customWidth="1" min="10" max="10" width="13.13"/>
  </cols>
  <sheetData>
    <row r="1" ht="12.75" customHeight="1">
      <c r="A1" s="1" t="s">
        <v>159</v>
      </c>
      <c r="B1" s="2"/>
      <c r="C1" s="2"/>
      <c r="D1" s="2"/>
      <c r="E1" s="2"/>
      <c r="F1" s="2"/>
      <c r="G1" s="3"/>
      <c r="I1" s="89"/>
      <c r="J1" s="89"/>
      <c r="K1" s="89"/>
    </row>
    <row r="2" ht="17.25" customHeight="1">
      <c r="A2" s="105" t="s">
        <v>2</v>
      </c>
      <c r="B2" s="106" t="s">
        <v>160</v>
      </c>
      <c r="C2" s="106" t="s">
        <v>161</v>
      </c>
      <c r="D2" s="107" t="s">
        <v>162</v>
      </c>
      <c r="E2" s="107" t="s">
        <v>163</v>
      </c>
      <c r="F2" s="108" t="s">
        <v>7</v>
      </c>
      <c r="G2" s="107" t="s">
        <v>8</v>
      </c>
      <c r="H2" s="90"/>
      <c r="I2" s="38" t="s">
        <v>59</v>
      </c>
      <c r="J2" s="3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2.75" customHeight="1">
      <c r="A3" s="91"/>
      <c r="B3" s="109"/>
      <c r="C3" s="110"/>
      <c r="D3" s="111"/>
      <c r="E3" s="111"/>
      <c r="F3" s="101"/>
      <c r="G3" s="92"/>
      <c r="I3" s="43">
        <f>COUNTIF(F:F,"Done")</f>
        <v>0</v>
      </c>
      <c r="J3" s="41" t="s">
        <v>62</v>
      </c>
    </row>
    <row r="4" ht="12.75" customHeight="1">
      <c r="A4" s="91"/>
      <c r="B4" s="109"/>
      <c r="C4" s="112"/>
      <c r="D4" s="111"/>
      <c r="E4" s="111"/>
      <c r="F4" s="101"/>
      <c r="G4" s="92"/>
      <c r="I4" s="43">
        <f>COUNTIF(F:F,"In Progress")</f>
        <v>0</v>
      </c>
      <c r="J4" s="41" t="s">
        <v>64</v>
      </c>
    </row>
    <row r="5" ht="12.75" customHeight="1">
      <c r="A5" s="91"/>
      <c r="B5" s="113"/>
      <c r="C5" s="112"/>
      <c r="D5" s="111"/>
      <c r="E5" s="111"/>
      <c r="F5" s="101"/>
      <c r="G5" s="92"/>
      <c r="I5" s="43">
        <f>COUNTIF(F:F,"Issue Triggered")</f>
        <v>0</v>
      </c>
      <c r="J5" s="46" t="s">
        <v>15</v>
      </c>
    </row>
    <row r="6" ht="12.75" customHeight="1">
      <c r="A6" s="91"/>
      <c r="B6" s="109"/>
      <c r="C6" s="112"/>
      <c r="D6" s="111"/>
      <c r="E6" s="111"/>
      <c r="F6" s="101"/>
      <c r="G6" s="92"/>
      <c r="I6" s="43">
        <f t="shared" ref="I6:I7" si="1">COUNTIF(F:F,"NA")</f>
        <v>0</v>
      </c>
      <c r="J6" s="47" t="s">
        <v>67</v>
      </c>
    </row>
    <row r="7" ht="12.75" customHeight="1">
      <c r="A7" s="91"/>
      <c r="B7" s="109"/>
      <c r="C7" s="112"/>
      <c r="D7" s="111"/>
      <c r="E7" s="111"/>
      <c r="F7" s="101"/>
      <c r="G7" s="92"/>
      <c r="I7" s="43">
        <f t="shared" si="1"/>
        <v>0</v>
      </c>
      <c r="J7" s="48" t="s">
        <v>61</v>
      </c>
    </row>
    <row r="8" ht="12.75" customHeight="1">
      <c r="A8" s="91"/>
      <c r="B8" s="109"/>
      <c r="C8" s="112"/>
      <c r="D8" s="111"/>
      <c r="E8" s="111"/>
      <c r="F8" s="101"/>
      <c r="G8" s="92"/>
      <c r="I8" s="43">
        <f>COUNTIF(D4:D1000,"&lt;&gt;")</f>
        <v>0</v>
      </c>
      <c r="J8" s="49" t="s">
        <v>70</v>
      </c>
    </row>
    <row r="9" ht="12.75" customHeight="1">
      <c r="A9" s="91"/>
      <c r="B9" s="109"/>
      <c r="C9" s="112"/>
      <c r="D9" s="111"/>
      <c r="E9" s="111"/>
      <c r="F9" s="101"/>
      <c r="G9" s="92"/>
      <c r="I9" s="66" t="str">
        <f>IF((I8)=(I3+I7),"Completed","Pending")</f>
        <v>Completed</v>
      </c>
      <c r="J9" s="51" t="s">
        <v>72</v>
      </c>
    </row>
    <row r="10" ht="12.75" customHeight="1">
      <c r="A10" s="91"/>
      <c r="B10" s="109"/>
      <c r="C10" s="112"/>
      <c r="D10" s="111"/>
      <c r="E10" s="111"/>
      <c r="F10" s="101"/>
      <c r="G10" s="92"/>
    </row>
    <row r="11" ht="12.75" customHeight="1">
      <c r="A11" s="91"/>
      <c r="B11" s="109"/>
      <c r="C11" s="112"/>
      <c r="D11" s="111"/>
      <c r="E11" s="111"/>
      <c r="F11" s="101"/>
      <c r="G11" s="92"/>
    </row>
    <row r="12" ht="12.75" customHeight="1">
      <c r="A12" s="91"/>
      <c r="B12" s="109"/>
      <c r="C12" s="112"/>
      <c r="D12" s="111"/>
      <c r="E12" s="111"/>
      <c r="F12" s="101"/>
      <c r="G12" s="92"/>
      <c r="I12" s="114" t="s">
        <v>164</v>
      </c>
      <c r="J12" s="54"/>
      <c r="K12" s="6"/>
    </row>
    <row r="13" ht="12.75" customHeight="1">
      <c r="A13" s="91"/>
      <c r="B13" s="109"/>
      <c r="C13" s="112"/>
      <c r="D13" s="111"/>
      <c r="E13" s="111"/>
      <c r="F13" s="101"/>
      <c r="G13" s="92"/>
      <c r="I13" s="115"/>
    </row>
    <row r="14" ht="12.75" customHeight="1">
      <c r="A14" s="91"/>
      <c r="B14" s="109"/>
      <c r="C14" s="112"/>
      <c r="D14" s="111"/>
      <c r="E14" s="111"/>
      <c r="F14" s="101"/>
      <c r="G14" s="92"/>
      <c r="I14" s="81" t="s">
        <v>137</v>
      </c>
      <c r="J14" s="6"/>
    </row>
    <row r="15" ht="12.75" customHeight="1">
      <c r="A15" s="91"/>
      <c r="B15" s="109"/>
      <c r="C15" s="112"/>
      <c r="D15" s="111"/>
      <c r="E15" s="111"/>
      <c r="F15" s="101"/>
      <c r="G15" s="92"/>
      <c r="I15" s="82" t="s">
        <v>77</v>
      </c>
      <c r="J15" s="6"/>
    </row>
    <row r="16" ht="12.75" customHeight="1">
      <c r="A16" s="91"/>
      <c r="B16" s="109"/>
      <c r="C16" s="112"/>
      <c r="D16" s="111"/>
      <c r="E16" s="111"/>
      <c r="F16" s="101"/>
      <c r="G16" s="92"/>
      <c r="I16" s="81" t="s">
        <v>79</v>
      </c>
      <c r="J16" s="6"/>
    </row>
    <row r="17" ht="12.75" customHeight="1">
      <c r="A17" s="91"/>
      <c r="B17" s="109"/>
      <c r="C17" s="112"/>
      <c r="D17" s="111"/>
      <c r="E17" s="111"/>
      <c r="F17" s="101"/>
      <c r="G17" s="92"/>
    </row>
    <row r="18" ht="12.75" customHeight="1">
      <c r="A18" s="91"/>
      <c r="B18" s="109"/>
      <c r="C18" s="116"/>
      <c r="D18" s="111"/>
      <c r="E18" s="111"/>
      <c r="F18" s="101"/>
      <c r="G18" s="92"/>
      <c r="I18" s="74" t="s">
        <v>86</v>
      </c>
    </row>
    <row r="19" ht="12.75" customHeight="1">
      <c r="A19" s="91"/>
      <c r="B19" s="109"/>
      <c r="C19" s="110"/>
      <c r="D19" s="111"/>
      <c r="E19" s="111"/>
      <c r="F19" s="101"/>
      <c r="G19" s="92"/>
    </row>
    <row r="20" ht="12.75" customHeight="1">
      <c r="A20" s="91"/>
      <c r="B20" s="109"/>
      <c r="C20" s="112"/>
      <c r="D20" s="111"/>
      <c r="E20" s="111"/>
      <c r="F20" s="101"/>
      <c r="G20" s="92"/>
    </row>
    <row r="21" ht="12.75" customHeight="1">
      <c r="A21" s="91"/>
      <c r="B21" s="109"/>
      <c r="C21" s="112"/>
      <c r="D21" s="111"/>
      <c r="E21" s="111"/>
      <c r="F21" s="101"/>
      <c r="G21" s="92"/>
    </row>
    <row r="22" ht="12.75" customHeight="1">
      <c r="A22" s="91"/>
      <c r="B22" s="109"/>
      <c r="C22" s="112"/>
      <c r="D22" s="111"/>
      <c r="E22" s="111"/>
      <c r="F22" s="101"/>
      <c r="G22" s="92"/>
    </row>
    <row r="23" ht="12.75" customHeight="1">
      <c r="A23" s="91"/>
      <c r="B23" s="113"/>
      <c r="C23" s="112"/>
      <c r="D23" s="111"/>
      <c r="E23" s="111"/>
      <c r="F23" s="101"/>
      <c r="G23" s="92"/>
    </row>
    <row r="24" ht="12.75" customHeight="1">
      <c r="A24" s="91"/>
      <c r="B24" s="113"/>
      <c r="C24" s="112"/>
      <c r="D24" s="111"/>
      <c r="E24" s="111"/>
      <c r="F24" s="101"/>
      <c r="G24" s="92"/>
    </row>
    <row r="25" ht="12.75" customHeight="1">
      <c r="A25" s="91"/>
      <c r="B25" s="109"/>
      <c r="C25" s="112"/>
      <c r="D25" s="111"/>
      <c r="E25" s="111"/>
      <c r="F25" s="101"/>
      <c r="G25" s="92"/>
    </row>
    <row r="26" ht="12.75" customHeight="1">
      <c r="A26" s="91"/>
      <c r="B26" s="109"/>
      <c r="C26" s="112"/>
      <c r="D26" s="111"/>
      <c r="E26" s="111"/>
      <c r="F26" s="101"/>
      <c r="G26" s="92"/>
    </row>
    <row r="27" ht="12.75" customHeight="1">
      <c r="A27" s="91"/>
      <c r="B27" s="109"/>
      <c r="C27" s="112"/>
      <c r="D27" s="111"/>
      <c r="E27" s="111"/>
      <c r="F27" s="101"/>
      <c r="G27" s="92"/>
    </row>
    <row r="28" ht="12.75" customHeight="1">
      <c r="A28" s="91"/>
      <c r="B28" s="109"/>
      <c r="C28" s="112"/>
      <c r="D28" s="111"/>
      <c r="E28" s="111"/>
      <c r="F28" s="101"/>
      <c r="G28" s="92"/>
    </row>
    <row r="29" ht="12.75" customHeight="1">
      <c r="A29" s="91"/>
      <c r="B29" s="113"/>
      <c r="C29" s="112"/>
      <c r="D29" s="111"/>
      <c r="E29" s="111"/>
      <c r="F29" s="101"/>
      <c r="G29" s="92"/>
    </row>
    <row r="30" ht="12.75" customHeight="1">
      <c r="A30" s="91"/>
      <c r="B30" s="109"/>
      <c r="C30" s="112"/>
      <c r="D30" s="111"/>
      <c r="E30" s="111"/>
      <c r="F30" s="101"/>
      <c r="G30" s="92"/>
    </row>
    <row r="31" ht="12.75" customHeight="1">
      <c r="A31" s="91"/>
      <c r="B31" s="109"/>
      <c r="C31" s="112"/>
      <c r="D31" s="111"/>
      <c r="E31" s="111"/>
      <c r="F31" s="101"/>
      <c r="G31" s="92"/>
    </row>
    <row r="32" ht="12.75" customHeight="1">
      <c r="A32" s="91"/>
      <c r="B32" s="109"/>
      <c r="C32" s="112"/>
      <c r="D32" s="111"/>
      <c r="E32" s="111"/>
      <c r="F32" s="101"/>
      <c r="G32" s="92"/>
    </row>
    <row r="33" ht="12.75" customHeight="1">
      <c r="A33" s="91"/>
      <c r="B33" s="109"/>
      <c r="C33" s="112"/>
      <c r="D33" s="111"/>
      <c r="E33" s="111"/>
      <c r="F33" s="101"/>
      <c r="G33" s="92"/>
    </row>
    <row r="34" ht="12.75" customHeight="1">
      <c r="A34" s="91"/>
      <c r="B34" s="109"/>
      <c r="C34" s="116"/>
      <c r="D34" s="111"/>
      <c r="E34" s="111"/>
      <c r="F34" s="101"/>
      <c r="G34" s="92"/>
    </row>
    <row r="35" ht="12.75" customHeight="1">
      <c r="A35" s="91"/>
      <c r="B35" s="109"/>
      <c r="C35" s="110"/>
      <c r="D35" s="111"/>
      <c r="E35" s="111"/>
      <c r="F35" s="101"/>
      <c r="G35" s="92"/>
    </row>
    <row r="36" ht="12.75" customHeight="1">
      <c r="A36" s="91"/>
      <c r="B36" s="109"/>
      <c r="C36" s="112"/>
      <c r="D36" s="111"/>
      <c r="E36" s="111"/>
      <c r="F36" s="101"/>
      <c r="G36" s="92"/>
    </row>
    <row r="37" ht="12.75" customHeight="1">
      <c r="A37" s="91"/>
      <c r="B37" s="109"/>
      <c r="C37" s="112"/>
      <c r="D37" s="111"/>
      <c r="E37" s="111"/>
      <c r="F37" s="101"/>
      <c r="G37" s="92"/>
    </row>
    <row r="38" ht="12.75" customHeight="1">
      <c r="A38" s="91"/>
      <c r="B38" s="109"/>
      <c r="C38" s="112"/>
      <c r="D38" s="111"/>
      <c r="E38" s="111"/>
      <c r="F38" s="101"/>
      <c r="G38" s="92"/>
    </row>
    <row r="39" ht="12.75" customHeight="1">
      <c r="A39" s="91"/>
      <c r="B39" s="109"/>
      <c r="C39" s="112"/>
      <c r="D39" s="111"/>
      <c r="E39" s="111"/>
      <c r="F39" s="101"/>
      <c r="G39" s="92"/>
    </row>
    <row r="40" ht="12.75" customHeight="1">
      <c r="A40" s="91"/>
      <c r="B40" s="109"/>
      <c r="C40" s="112"/>
      <c r="D40" s="111"/>
      <c r="E40" s="111"/>
      <c r="F40" s="101"/>
      <c r="G40" s="92"/>
    </row>
    <row r="41" ht="12.75" customHeight="1">
      <c r="A41" s="91"/>
      <c r="B41" s="109"/>
      <c r="C41" s="112"/>
      <c r="D41" s="111"/>
      <c r="E41" s="111"/>
      <c r="F41" s="101"/>
      <c r="G41" s="92"/>
    </row>
    <row r="42" ht="12.75" customHeight="1">
      <c r="A42" s="91"/>
      <c r="B42" s="109"/>
      <c r="C42" s="112"/>
      <c r="D42" s="111"/>
      <c r="E42" s="111"/>
      <c r="F42" s="101"/>
      <c r="G42" s="92"/>
    </row>
    <row r="43" ht="12.75" customHeight="1">
      <c r="A43" s="91"/>
      <c r="B43" s="109"/>
      <c r="C43" s="112"/>
      <c r="D43" s="111"/>
      <c r="E43" s="111"/>
      <c r="F43" s="101"/>
      <c r="G43" s="92"/>
    </row>
    <row r="44" ht="12.75" customHeight="1">
      <c r="A44" s="91"/>
      <c r="B44" s="109"/>
      <c r="C44" s="112"/>
      <c r="D44" s="111"/>
      <c r="E44" s="111"/>
      <c r="F44" s="101"/>
      <c r="G44" s="92"/>
    </row>
    <row r="45" ht="12.75" customHeight="1">
      <c r="A45" s="91"/>
      <c r="B45" s="109"/>
      <c r="C45" s="112"/>
      <c r="D45" s="111"/>
      <c r="E45" s="111"/>
      <c r="F45" s="101"/>
      <c r="G45" s="92"/>
    </row>
    <row r="46" ht="12.75" customHeight="1">
      <c r="A46" s="91"/>
      <c r="B46" s="109"/>
      <c r="C46" s="112"/>
      <c r="D46" s="111"/>
      <c r="E46" s="111"/>
      <c r="F46" s="101"/>
      <c r="G46" s="92"/>
    </row>
    <row r="47" ht="12.75" customHeight="1">
      <c r="A47" s="91"/>
      <c r="B47" s="109"/>
      <c r="C47" s="112"/>
      <c r="D47" s="111"/>
      <c r="E47" s="111"/>
      <c r="F47" s="101"/>
      <c r="G47" s="92"/>
    </row>
    <row r="48" ht="12.75" customHeight="1">
      <c r="A48" s="91"/>
      <c r="B48" s="109"/>
      <c r="C48" s="112"/>
      <c r="D48" s="111"/>
      <c r="E48" s="111"/>
      <c r="F48" s="101"/>
      <c r="G48" s="92"/>
    </row>
    <row r="49" ht="12.75" customHeight="1">
      <c r="A49" s="91"/>
      <c r="B49" s="109"/>
      <c r="C49" s="112"/>
      <c r="D49" s="111"/>
      <c r="E49" s="111"/>
      <c r="F49" s="101"/>
      <c r="G49" s="92"/>
    </row>
    <row r="50" ht="12.75" customHeight="1">
      <c r="A50" s="91"/>
      <c r="B50" s="109"/>
      <c r="C50" s="116"/>
      <c r="D50" s="111"/>
      <c r="E50" s="111"/>
      <c r="F50" s="101"/>
      <c r="G50" s="92"/>
    </row>
    <row r="51" ht="12.75" customHeight="1">
      <c r="A51" s="91"/>
      <c r="B51" s="109"/>
      <c r="C51" s="110"/>
      <c r="D51" s="111"/>
      <c r="E51" s="111"/>
      <c r="F51" s="101"/>
      <c r="G51" s="92"/>
    </row>
    <row r="52" ht="12.75" customHeight="1">
      <c r="A52" s="91"/>
      <c r="B52" s="109"/>
      <c r="C52" s="112"/>
      <c r="D52" s="111"/>
      <c r="E52" s="111"/>
      <c r="F52" s="101"/>
      <c r="G52" s="92"/>
    </row>
    <row r="53" ht="12.75" customHeight="1">
      <c r="A53" s="91"/>
      <c r="B53" s="109"/>
      <c r="C53" s="112"/>
      <c r="D53" s="111"/>
      <c r="E53" s="111"/>
      <c r="F53" s="101"/>
      <c r="G53" s="92"/>
    </row>
    <row r="54" ht="12.75" customHeight="1">
      <c r="A54" s="91"/>
      <c r="B54" s="109"/>
      <c r="C54" s="112"/>
      <c r="D54" s="111"/>
      <c r="E54" s="111"/>
      <c r="F54" s="101"/>
      <c r="G54" s="92"/>
    </row>
    <row r="55" ht="12.75" customHeight="1">
      <c r="A55" s="91"/>
      <c r="B55" s="109"/>
      <c r="C55" s="112"/>
      <c r="D55" s="111"/>
      <c r="E55" s="111"/>
      <c r="F55" s="101"/>
      <c r="G55" s="92"/>
    </row>
    <row r="56" ht="12.75" customHeight="1">
      <c r="A56" s="91"/>
      <c r="B56" s="109"/>
      <c r="C56" s="112"/>
      <c r="D56" s="111"/>
      <c r="E56" s="111"/>
      <c r="F56" s="101"/>
      <c r="G56" s="92"/>
    </row>
    <row r="57" ht="12.75" customHeight="1">
      <c r="A57" s="117"/>
      <c r="B57" s="109"/>
      <c r="C57" s="112"/>
      <c r="D57" s="111"/>
      <c r="E57" s="111"/>
      <c r="F57" s="101"/>
      <c r="G57" s="92"/>
    </row>
    <row r="58" ht="12.75" customHeight="1">
      <c r="A58" s="91"/>
      <c r="B58" s="109"/>
      <c r="C58" s="112"/>
      <c r="D58" s="111"/>
      <c r="E58" s="111"/>
      <c r="F58" s="101"/>
      <c r="G58" s="92"/>
    </row>
    <row r="59" ht="12.75" customHeight="1">
      <c r="A59" s="91"/>
      <c r="B59" s="109"/>
      <c r="C59" s="112"/>
      <c r="D59" s="111"/>
      <c r="E59" s="111"/>
      <c r="F59" s="101"/>
      <c r="G59" s="92"/>
    </row>
    <row r="60" ht="12.75" customHeight="1">
      <c r="A60" s="91"/>
      <c r="B60" s="109"/>
      <c r="C60" s="112"/>
      <c r="D60" s="111"/>
      <c r="E60" s="111"/>
      <c r="F60" s="101"/>
      <c r="G60" s="92"/>
    </row>
    <row r="61" ht="12.75" customHeight="1">
      <c r="A61" s="91"/>
      <c r="B61" s="109"/>
      <c r="C61" s="112"/>
      <c r="D61" s="111"/>
      <c r="E61" s="111"/>
      <c r="F61" s="101"/>
      <c r="G61" s="92"/>
    </row>
    <row r="62" ht="12.75" customHeight="1">
      <c r="A62" s="91"/>
      <c r="B62" s="109"/>
      <c r="C62" s="112"/>
      <c r="D62" s="111"/>
      <c r="E62" s="111"/>
      <c r="F62" s="101"/>
      <c r="G62" s="92"/>
    </row>
    <row r="63" ht="12.75" customHeight="1">
      <c r="A63" s="91"/>
      <c r="B63" s="109"/>
      <c r="C63" s="112"/>
      <c r="D63" s="111"/>
      <c r="E63" s="111"/>
      <c r="F63" s="101"/>
      <c r="G63" s="92"/>
    </row>
    <row r="64" ht="12.75" customHeight="1">
      <c r="A64" s="91"/>
      <c r="B64" s="109"/>
      <c r="C64" s="112"/>
      <c r="D64" s="111"/>
      <c r="E64" s="111"/>
      <c r="F64" s="101"/>
      <c r="G64" s="92"/>
    </row>
    <row r="65" ht="12.75" customHeight="1">
      <c r="A65" s="91"/>
      <c r="B65" s="109"/>
      <c r="C65" s="112"/>
      <c r="D65" s="111"/>
      <c r="E65" s="111"/>
      <c r="F65" s="101"/>
      <c r="G65" s="92"/>
    </row>
    <row r="66" ht="12.75" customHeight="1">
      <c r="A66" s="91"/>
      <c r="B66" s="109"/>
      <c r="C66" s="116"/>
      <c r="D66" s="111"/>
      <c r="E66" s="111"/>
      <c r="F66" s="101"/>
      <c r="G66" s="92"/>
    </row>
    <row r="67" ht="12.75" customHeight="1">
      <c r="A67" s="91"/>
      <c r="B67" s="109"/>
      <c r="C67" s="110"/>
      <c r="D67" s="111"/>
      <c r="E67" s="111"/>
      <c r="F67" s="101"/>
      <c r="G67" s="92"/>
    </row>
    <row r="68" ht="12.75" customHeight="1">
      <c r="A68" s="91"/>
      <c r="B68" s="109"/>
      <c r="C68" s="112"/>
      <c r="D68" s="111"/>
      <c r="E68" s="111"/>
      <c r="F68" s="101"/>
      <c r="G68" s="92"/>
    </row>
    <row r="69" ht="12.75" customHeight="1">
      <c r="A69" s="91"/>
      <c r="B69" s="109"/>
      <c r="C69" s="112"/>
      <c r="D69" s="111"/>
      <c r="E69" s="111"/>
      <c r="F69" s="101"/>
      <c r="G69" s="92"/>
    </row>
    <row r="70" ht="12.75" customHeight="1">
      <c r="A70" s="91"/>
      <c r="B70" s="109"/>
      <c r="C70" s="112"/>
      <c r="D70" s="111"/>
      <c r="E70" s="111"/>
      <c r="F70" s="101"/>
      <c r="G70" s="92"/>
    </row>
    <row r="71" ht="12.75" customHeight="1">
      <c r="A71" s="91"/>
      <c r="B71" s="109"/>
      <c r="C71" s="112"/>
      <c r="D71" s="111"/>
      <c r="E71" s="111"/>
      <c r="F71" s="101"/>
      <c r="G71" s="92"/>
    </row>
    <row r="72" ht="12.75" customHeight="1">
      <c r="A72" s="91"/>
      <c r="B72" s="109"/>
      <c r="C72" s="112"/>
      <c r="D72" s="111"/>
      <c r="E72" s="111"/>
      <c r="F72" s="101"/>
      <c r="G72" s="92"/>
    </row>
    <row r="73" ht="12.75" customHeight="1">
      <c r="A73" s="91"/>
      <c r="B73" s="109"/>
      <c r="C73" s="112"/>
      <c r="D73" s="111"/>
      <c r="E73" s="111"/>
      <c r="F73" s="101"/>
      <c r="G73" s="92"/>
    </row>
    <row r="74" ht="12.75" customHeight="1">
      <c r="A74" s="91"/>
      <c r="B74" s="109"/>
      <c r="C74" s="112"/>
      <c r="D74" s="111"/>
      <c r="E74" s="111"/>
      <c r="F74" s="101"/>
      <c r="G74" s="92"/>
    </row>
    <row r="75" ht="12.75" customHeight="1">
      <c r="A75" s="91"/>
      <c r="B75" s="109"/>
      <c r="C75" s="112"/>
      <c r="D75" s="111"/>
      <c r="E75" s="111"/>
      <c r="F75" s="101"/>
      <c r="G75" s="92"/>
    </row>
    <row r="76" ht="12.75" customHeight="1">
      <c r="A76" s="91"/>
      <c r="B76" s="109"/>
      <c r="C76" s="112"/>
      <c r="D76" s="111"/>
      <c r="E76" s="111"/>
      <c r="F76" s="101"/>
      <c r="G76" s="92"/>
    </row>
    <row r="77" ht="12.75" customHeight="1">
      <c r="A77" s="91"/>
      <c r="B77" s="109"/>
      <c r="C77" s="112"/>
      <c r="D77" s="111"/>
      <c r="E77" s="111"/>
      <c r="F77" s="101"/>
      <c r="G77" s="92"/>
    </row>
    <row r="78" ht="12.75" customHeight="1">
      <c r="A78" s="91"/>
      <c r="B78" s="109"/>
      <c r="C78" s="112"/>
      <c r="D78" s="111"/>
      <c r="E78" s="111"/>
      <c r="F78" s="101"/>
      <c r="G78" s="92"/>
    </row>
    <row r="79" ht="12.75" customHeight="1">
      <c r="A79" s="91"/>
      <c r="B79" s="109"/>
      <c r="C79" s="112"/>
      <c r="D79" s="111"/>
      <c r="E79" s="111"/>
      <c r="F79" s="101"/>
      <c r="G79" s="92"/>
    </row>
    <row r="80" ht="12.75" customHeight="1">
      <c r="A80" s="91"/>
      <c r="B80" s="109"/>
      <c r="C80" s="112"/>
      <c r="D80" s="111"/>
      <c r="E80" s="111"/>
      <c r="F80" s="101"/>
      <c r="G80" s="92"/>
    </row>
    <row r="81" ht="12.75" customHeight="1">
      <c r="A81" s="91"/>
      <c r="B81" s="109"/>
      <c r="C81" s="112"/>
      <c r="D81" s="111"/>
      <c r="E81" s="111"/>
      <c r="F81" s="101"/>
      <c r="G81" s="92"/>
    </row>
    <row r="82" ht="12.75" customHeight="1">
      <c r="A82" s="91"/>
      <c r="B82" s="109"/>
      <c r="C82" s="116"/>
      <c r="D82" s="111"/>
      <c r="E82" s="111"/>
      <c r="F82" s="101"/>
      <c r="G82" s="92"/>
    </row>
    <row r="83" ht="12.75" customHeight="1">
      <c r="A83" s="91"/>
      <c r="B83" s="109"/>
      <c r="C83" s="110"/>
      <c r="D83" s="111"/>
      <c r="E83" s="111"/>
      <c r="F83" s="101"/>
      <c r="G83" s="92"/>
    </row>
    <row r="84" ht="12.75" customHeight="1">
      <c r="A84" s="91"/>
      <c r="B84" s="109"/>
      <c r="C84" s="112"/>
      <c r="D84" s="111"/>
      <c r="E84" s="111"/>
      <c r="F84" s="101"/>
      <c r="G84" s="92"/>
    </row>
    <row r="85" ht="12.75" customHeight="1">
      <c r="A85" s="91"/>
      <c r="B85" s="109"/>
      <c r="C85" s="112"/>
      <c r="D85" s="111"/>
      <c r="E85" s="111"/>
      <c r="F85" s="101"/>
      <c r="G85" s="92"/>
    </row>
    <row r="86" ht="12.75" customHeight="1">
      <c r="A86" s="91"/>
      <c r="B86" s="109"/>
      <c r="C86" s="112"/>
      <c r="D86" s="111"/>
      <c r="E86" s="111"/>
      <c r="F86" s="101"/>
      <c r="G86" s="92"/>
    </row>
    <row r="87" ht="12.75" customHeight="1">
      <c r="A87" s="91"/>
      <c r="B87" s="109"/>
      <c r="C87" s="112"/>
      <c r="D87" s="111"/>
      <c r="E87" s="111"/>
      <c r="F87" s="101"/>
      <c r="G87" s="92"/>
    </row>
    <row r="88" ht="12.75" customHeight="1">
      <c r="A88" s="91"/>
      <c r="B88" s="109"/>
      <c r="C88" s="112"/>
      <c r="D88" s="111"/>
      <c r="E88" s="111"/>
      <c r="F88" s="101"/>
      <c r="G88" s="92"/>
    </row>
    <row r="89" ht="12.75" customHeight="1">
      <c r="A89" s="91"/>
      <c r="B89" s="109"/>
      <c r="C89" s="112"/>
      <c r="D89" s="111"/>
      <c r="E89" s="111"/>
      <c r="F89" s="101"/>
      <c r="G89" s="92"/>
    </row>
    <row r="90" ht="12.75" customHeight="1">
      <c r="A90" s="91"/>
      <c r="B90" s="109"/>
      <c r="C90" s="112"/>
      <c r="D90" s="111"/>
      <c r="E90" s="111"/>
      <c r="F90" s="101"/>
      <c r="G90" s="92"/>
    </row>
    <row r="91" ht="12.75" customHeight="1">
      <c r="A91" s="91"/>
      <c r="B91" s="109"/>
      <c r="C91" s="112"/>
      <c r="D91" s="111"/>
      <c r="E91" s="111"/>
      <c r="F91" s="101"/>
      <c r="G91" s="92"/>
    </row>
    <row r="92" ht="12.75" customHeight="1">
      <c r="A92" s="91"/>
      <c r="B92" s="109"/>
      <c r="C92" s="112"/>
      <c r="D92" s="111"/>
      <c r="E92" s="111"/>
      <c r="F92" s="101"/>
      <c r="G92" s="92"/>
    </row>
    <row r="93" ht="12.75" customHeight="1">
      <c r="A93" s="91"/>
      <c r="B93" s="109"/>
      <c r="C93" s="112"/>
      <c r="D93" s="111"/>
      <c r="E93" s="111"/>
      <c r="F93" s="101"/>
      <c r="G93" s="92"/>
    </row>
    <row r="94" ht="12.75" customHeight="1">
      <c r="A94" s="91"/>
      <c r="B94" s="109"/>
      <c r="C94" s="112"/>
      <c r="D94" s="111"/>
      <c r="E94" s="111"/>
      <c r="F94" s="101"/>
      <c r="G94" s="92"/>
    </row>
    <row r="95" ht="12.75" customHeight="1">
      <c r="A95" s="91"/>
      <c r="B95" s="109"/>
      <c r="C95" s="112"/>
      <c r="D95" s="111"/>
      <c r="E95" s="111"/>
      <c r="F95" s="101"/>
      <c r="G95" s="92"/>
    </row>
    <row r="96" ht="12.75" customHeight="1">
      <c r="A96" s="91"/>
      <c r="B96" s="109"/>
      <c r="C96" s="112"/>
      <c r="D96" s="111"/>
      <c r="E96" s="111"/>
      <c r="F96" s="101"/>
      <c r="G96" s="92"/>
    </row>
    <row r="97" ht="12.75" customHeight="1">
      <c r="A97" s="91"/>
      <c r="B97" s="109"/>
      <c r="C97" s="112"/>
      <c r="D97" s="111"/>
      <c r="E97" s="111"/>
      <c r="F97" s="101"/>
      <c r="G97" s="92"/>
    </row>
    <row r="98" ht="12.75" customHeight="1">
      <c r="A98" s="91"/>
      <c r="B98" s="109"/>
      <c r="C98" s="116"/>
      <c r="D98" s="111"/>
      <c r="E98" s="111"/>
      <c r="F98" s="101"/>
      <c r="G98" s="92"/>
    </row>
    <row r="99" ht="12.75" customHeight="1">
      <c r="A99" s="91"/>
      <c r="B99" s="109"/>
      <c r="C99" s="110"/>
      <c r="D99" s="111"/>
      <c r="E99" s="111"/>
      <c r="F99" s="101"/>
      <c r="G99" s="92"/>
    </row>
    <row r="100" ht="12.75" customHeight="1">
      <c r="A100" s="91"/>
      <c r="B100" s="109"/>
      <c r="C100" s="112"/>
      <c r="D100" s="111"/>
      <c r="E100" s="111"/>
      <c r="F100" s="101"/>
      <c r="G100" s="92"/>
    </row>
    <row r="101" ht="12.75" customHeight="1">
      <c r="A101" s="91"/>
      <c r="B101" s="109"/>
      <c r="C101" s="112"/>
      <c r="D101" s="111"/>
      <c r="E101" s="111"/>
      <c r="F101" s="101"/>
      <c r="G101" s="92"/>
    </row>
    <row r="102" ht="12.75" customHeight="1">
      <c r="A102" s="91"/>
      <c r="B102" s="109"/>
      <c r="C102" s="112"/>
      <c r="D102" s="111"/>
      <c r="E102" s="111"/>
      <c r="F102" s="101"/>
      <c r="G102" s="92"/>
    </row>
    <row r="103" ht="12.75" customHeight="1">
      <c r="A103" s="91"/>
      <c r="B103" s="109"/>
      <c r="C103" s="112"/>
      <c r="D103" s="111"/>
      <c r="E103" s="111"/>
      <c r="F103" s="101"/>
      <c r="G103" s="92"/>
    </row>
    <row r="104" ht="12.75" customHeight="1">
      <c r="A104" s="91"/>
      <c r="B104" s="109"/>
      <c r="C104" s="112"/>
      <c r="D104" s="111"/>
      <c r="E104" s="111"/>
      <c r="F104" s="101"/>
      <c r="G104" s="92"/>
    </row>
    <row r="105" ht="12.75" customHeight="1">
      <c r="A105" s="91"/>
      <c r="B105" s="109"/>
      <c r="C105" s="112"/>
      <c r="D105" s="111"/>
      <c r="E105" s="111"/>
      <c r="F105" s="101"/>
      <c r="G105" s="92"/>
    </row>
    <row r="106" ht="12.75" customHeight="1">
      <c r="A106" s="91"/>
      <c r="B106" s="109"/>
      <c r="C106" s="112"/>
      <c r="D106" s="111"/>
      <c r="E106" s="111"/>
      <c r="F106" s="101"/>
      <c r="G106" s="92"/>
    </row>
    <row r="107" ht="12.75" customHeight="1">
      <c r="A107" s="91"/>
      <c r="B107" s="109"/>
      <c r="C107" s="112"/>
      <c r="D107" s="111"/>
      <c r="E107" s="111"/>
      <c r="F107" s="101"/>
      <c r="G107" s="92"/>
    </row>
    <row r="108" ht="12.75" customHeight="1">
      <c r="A108" s="91"/>
      <c r="B108" s="109"/>
      <c r="C108" s="112"/>
      <c r="D108" s="111"/>
      <c r="E108" s="111"/>
      <c r="F108" s="101"/>
      <c r="G108" s="92"/>
    </row>
    <row r="109" ht="12.75" customHeight="1">
      <c r="A109" s="91"/>
      <c r="B109" s="109"/>
      <c r="C109" s="112"/>
      <c r="D109" s="111"/>
      <c r="E109" s="111"/>
      <c r="F109" s="101"/>
      <c r="G109" s="92"/>
    </row>
    <row r="110" ht="12.75" customHeight="1">
      <c r="A110" s="91"/>
      <c r="B110" s="109"/>
      <c r="C110" s="112"/>
      <c r="D110" s="111"/>
      <c r="E110" s="111"/>
      <c r="F110" s="101"/>
      <c r="G110" s="92"/>
    </row>
    <row r="111" ht="12.75" customHeight="1">
      <c r="A111" s="91"/>
      <c r="B111" s="109"/>
      <c r="C111" s="112"/>
      <c r="D111" s="111"/>
      <c r="E111" s="111"/>
      <c r="F111" s="101"/>
      <c r="G111" s="92"/>
    </row>
    <row r="112" ht="12.75" customHeight="1">
      <c r="A112" s="91"/>
      <c r="B112" s="109"/>
      <c r="C112" s="112"/>
      <c r="D112" s="111"/>
      <c r="E112" s="111"/>
      <c r="F112" s="101"/>
      <c r="G112" s="92"/>
    </row>
    <row r="113" ht="12.75" customHeight="1">
      <c r="A113" s="91"/>
      <c r="B113" s="109"/>
      <c r="C113" s="112"/>
      <c r="D113" s="111"/>
      <c r="E113" s="111"/>
      <c r="F113" s="101"/>
      <c r="G113" s="92"/>
    </row>
    <row r="114" ht="12.75" customHeight="1">
      <c r="A114" s="91"/>
      <c r="B114" s="109"/>
      <c r="C114" s="116"/>
      <c r="D114" s="111"/>
      <c r="E114" s="111"/>
      <c r="F114" s="101"/>
      <c r="G114" s="92"/>
    </row>
    <row r="115" ht="12.75" customHeight="1">
      <c r="A115" s="91"/>
      <c r="B115" s="109"/>
      <c r="C115" s="110"/>
      <c r="D115" s="111"/>
      <c r="E115" s="111"/>
      <c r="F115" s="101"/>
      <c r="G115" s="92"/>
    </row>
    <row r="116" ht="12.75" customHeight="1">
      <c r="A116" s="91"/>
      <c r="B116" s="109"/>
      <c r="C116" s="112"/>
      <c r="D116" s="111"/>
      <c r="E116" s="111"/>
      <c r="F116" s="101"/>
      <c r="G116" s="92"/>
    </row>
    <row r="117" ht="12.75" customHeight="1">
      <c r="A117" s="91"/>
      <c r="B117" s="109"/>
      <c r="C117" s="112"/>
      <c r="D117" s="111"/>
      <c r="E117" s="111"/>
      <c r="F117" s="101"/>
      <c r="G117" s="92"/>
    </row>
    <row r="118" ht="12.75" customHeight="1">
      <c r="A118" s="91"/>
      <c r="B118" s="109"/>
      <c r="C118" s="112"/>
      <c r="D118" s="111"/>
      <c r="E118" s="111"/>
      <c r="F118" s="101"/>
      <c r="G118" s="92"/>
    </row>
    <row r="119" ht="12.75" customHeight="1">
      <c r="A119" s="91"/>
      <c r="B119" s="109"/>
      <c r="C119" s="112"/>
      <c r="D119" s="111"/>
      <c r="E119" s="111"/>
      <c r="F119" s="101"/>
      <c r="G119" s="92"/>
    </row>
    <row r="120" ht="12.75" customHeight="1">
      <c r="A120" s="91"/>
      <c r="B120" s="109"/>
      <c r="C120" s="112"/>
      <c r="D120" s="111"/>
      <c r="E120" s="111"/>
      <c r="F120" s="101"/>
      <c r="G120" s="92"/>
    </row>
    <row r="121" ht="12.75" customHeight="1">
      <c r="A121" s="91"/>
      <c r="B121" s="109"/>
      <c r="C121" s="112"/>
      <c r="D121" s="111"/>
      <c r="E121" s="111"/>
      <c r="F121" s="101"/>
      <c r="G121" s="92"/>
    </row>
    <row r="122" ht="12.75" customHeight="1">
      <c r="A122" s="91"/>
      <c r="B122" s="109"/>
      <c r="C122" s="112"/>
      <c r="D122" s="111"/>
      <c r="E122" s="111"/>
      <c r="F122" s="101"/>
      <c r="G122" s="92"/>
    </row>
    <row r="123" ht="12.75" customHeight="1">
      <c r="A123" s="91"/>
      <c r="B123" s="109"/>
      <c r="C123" s="112"/>
      <c r="D123" s="111"/>
      <c r="E123" s="111"/>
      <c r="F123" s="101"/>
      <c r="G123" s="92"/>
    </row>
    <row r="124" ht="12.75" customHeight="1">
      <c r="A124" s="91"/>
      <c r="B124" s="109"/>
      <c r="C124" s="112"/>
      <c r="D124" s="111"/>
      <c r="E124" s="111"/>
      <c r="F124" s="101"/>
      <c r="G124" s="92"/>
    </row>
    <row r="125" ht="12.75" customHeight="1">
      <c r="A125" s="91"/>
      <c r="B125" s="109"/>
      <c r="C125" s="112"/>
      <c r="D125" s="111"/>
      <c r="E125" s="111"/>
      <c r="F125" s="101"/>
      <c r="G125" s="92"/>
    </row>
    <row r="126" ht="12.75" customHeight="1">
      <c r="A126" s="91"/>
      <c r="B126" s="109"/>
      <c r="C126" s="112"/>
      <c r="D126" s="111"/>
      <c r="E126" s="111"/>
      <c r="F126" s="101"/>
      <c r="G126" s="92"/>
    </row>
    <row r="127" ht="12.75" customHeight="1">
      <c r="A127" s="91"/>
      <c r="B127" s="109"/>
      <c r="C127" s="112"/>
      <c r="D127" s="111"/>
      <c r="E127" s="111"/>
      <c r="F127" s="101"/>
      <c r="G127" s="92"/>
    </row>
    <row r="128" ht="12.75" customHeight="1">
      <c r="A128" s="91"/>
      <c r="B128" s="109"/>
      <c r="C128" s="112"/>
      <c r="D128" s="111"/>
      <c r="E128" s="111"/>
      <c r="F128" s="101"/>
      <c r="G128" s="92"/>
    </row>
    <row r="129" ht="12.75" customHeight="1">
      <c r="A129" s="91"/>
      <c r="B129" s="109"/>
      <c r="C129" s="112"/>
      <c r="D129" s="111"/>
      <c r="E129" s="111"/>
      <c r="F129" s="101"/>
      <c r="G129" s="92"/>
    </row>
    <row r="130" ht="12.75" customHeight="1">
      <c r="A130" s="91"/>
      <c r="B130" s="109"/>
      <c r="C130" s="116"/>
      <c r="D130" s="111"/>
      <c r="E130" s="111"/>
      <c r="F130" s="101"/>
      <c r="G130" s="92"/>
    </row>
    <row r="131" ht="12.75" customHeight="1">
      <c r="A131" s="91"/>
      <c r="B131" s="109"/>
      <c r="C131" s="110"/>
      <c r="D131" s="111"/>
      <c r="E131" s="111"/>
      <c r="F131" s="101"/>
      <c r="G131" s="92"/>
    </row>
    <row r="132" ht="12.75" customHeight="1">
      <c r="A132" s="91"/>
      <c r="B132" s="109"/>
      <c r="C132" s="112"/>
      <c r="D132" s="111"/>
      <c r="E132" s="111"/>
      <c r="F132" s="101"/>
      <c r="G132" s="92"/>
    </row>
    <row r="133" ht="12.75" customHeight="1">
      <c r="A133" s="91"/>
      <c r="B133" s="109"/>
      <c r="C133" s="112"/>
      <c r="D133" s="111"/>
      <c r="E133" s="111"/>
      <c r="F133" s="101"/>
      <c r="G133" s="92"/>
    </row>
    <row r="134" ht="12.75" customHeight="1">
      <c r="A134" s="91"/>
      <c r="B134" s="109"/>
      <c r="C134" s="112"/>
      <c r="D134" s="111"/>
      <c r="E134" s="111"/>
      <c r="F134" s="101"/>
      <c r="G134" s="92"/>
    </row>
    <row r="135" ht="12.75" customHeight="1">
      <c r="A135" s="91"/>
      <c r="B135" s="109"/>
      <c r="C135" s="112"/>
      <c r="D135" s="111"/>
      <c r="E135" s="111"/>
      <c r="F135" s="101"/>
      <c r="G135" s="92"/>
    </row>
    <row r="136" ht="12.75" customHeight="1">
      <c r="A136" s="91"/>
      <c r="B136" s="109"/>
      <c r="C136" s="112"/>
      <c r="D136" s="111"/>
      <c r="E136" s="111"/>
      <c r="F136" s="101"/>
      <c r="G136" s="92"/>
    </row>
    <row r="137" ht="12.75" customHeight="1">
      <c r="A137" s="91"/>
      <c r="B137" s="109"/>
      <c r="C137" s="112"/>
      <c r="D137" s="111"/>
      <c r="E137" s="111"/>
      <c r="F137" s="101"/>
      <c r="G137" s="92"/>
    </row>
    <row r="138" ht="12.75" customHeight="1">
      <c r="A138" s="91"/>
      <c r="B138" s="109"/>
      <c r="C138" s="112"/>
      <c r="D138" s="111"/>
      <c r="E138" s="111"/>
      <c r="F138" s="101"/>
      <c r="G138" s="92"/>
    </row>
    <row r="139" ht="12.75" customHeight="1">
      <c r="A139" s="91"/>
      <c r="B139" s="109"/>
      <c r="C139" s="112"/>
      <c r="D139" s="111"/>
      <c r="E139" s="111"/>
      <c r="F139" s="101"/>
      <c r="G139" s="92"/>
    </row>
    <row r="140" ht="12.75" customHeight="1">
      <c r="A140" s="91"/>
      <c r="B140" s="109"/>
      <c r="C140" s="112"/>
      <c r="D140" s="111"/>
      <c r="E140" s="111"/>
      <c r="F140" s="101"/>
      <c r="G140" s="92"/>
    </row>
    <row r="141" ht="12.75" customHeight="1">
      <c r="A141" s="91"/>
      <c r="B141" s="109"/>
      <c r="C141" s="112"/>
      <c r="D141" s="111"/>
      <c r="E141" s="111"/>
      <c r="F141" s="101"/>
      <c r="G141" s="92"/>
    </row>
    <row r="142" ht="12.75" customHeight="1">
      <c r="A142" s="91"/>
      <c r="B142" s="109"/>
      <c r="C142" s="112"/>
      <c r="D142" s="111"/>
      <c r="E142" s="111"/>
      <c r="F142" s="101"/>
      <c r="G142" s="92"/>
    </row>
    <row r="143" ht="12.75" customHeight="1">
      <c r="A143" s="91"/>
      <c r="B143" s="109"/>
      <c r="C143" s="112"/>
      <c r="D143" s="111"/>
      <c r="E143" s="111"/>
      <c r="F143" s="101"/>
      <c r="G143" s="92"/>
    </row>
    <row r="144" ht="12.75" customHeight="1">
      <c r="A144" s="91"/>
      <c r="B144" s="109"/>
      <c r="C144" s="112"/>
      <c r="D144" s="111"/>
      <c r="E144" s="111"/>
      <c r="F144" s="101"/>
      <c r="G144" s="92"/>
    </row>
    <row r="145" ht="12.75" customHeight="1">
      <c r="A145" s="91"/>
      <c r="B145" s="109"/>
      <c r="C145" s="112"/>
      <c r="D145" s="111"/>
      <c r="E145" s="111"/>
      <c r="F145" s="101"/>
      <c r="G145" s="92"/>
    </row>
    <row r="146" ht="12.75" customHeight="1">
      <c r="A146" s="91"/>
      <c r="B146" s="109"/>
      <c r="C146" s="116"/>
      <c r="D146" s="111"/>
      <c r="E146" s="111"/>
      <c r="F146" s="101"/>
      <c r="G146" s="92"/>
    </row>
    <row r="147" ht="12.75" customHeight="1">
      <c r="A147" s="91"/>
      <c r="B147" s="109"/>
      <c r="C147" s="110"/>
      <c r="D147" s="111"/>
      <c r="E147" s="111"/>
      <c r="F147" s="101"/>
      <c r="G147" s="92"/>
    </row>
    <row r="148" ht="12.75" customHeight="1">
      <c r="A148" s="91"/>
      <c r="B148" s="109"/>
      <c r="C148" s="112"/>
      <c r="D148" s="111"/>
      <c r="E148" s="111"/>
      <c r="F148" s="101"/>
      <c r="G148" s="92"/>
    </row>
    <row r="149" ht="12.75" customHeight="1">
      <c r="A149" s="91"/>
      <c r="B149" s="109"/>
      <c r="C149" s="112"/>
      <c r="D149" s="111"/>
      <c r="E149" s="111"/>
      <c r="F149" s="101"/>
      <c r="G149" s="92"/>
    </row>
    <row r="150" ht="12.75" customHeight="1">
      <c r="A150" s="91"/>
      <c r="B150" s="109"/>
      <c r="C150" s="112"/>
      <c r="D150" s="111"/>
      <c r="E150" s="111"/>
      <c r="F150" s="101"/>
      <c r="G150" s="92"/>
    </row>
    <row r="151" ht="12.75" customHeight="1">
      <c r="A151" s="91"/>
      <c r="B151" s="109"/>
      <c r="C151" s="112"/>
      <c r="D151" s="111"/>
      <c r="E151" s="111"/>
      <c r="F151" s="101"/>
      <c r="G151" s="92"/>
    </row>
    <row r="152" ht="12.75" customHeight="1">
      <c r="A152" s="91"/>
      <c r="B152" s="109"/>
      <c r="C152" s="112"/>
      <c r="D152" s="111"/>
      <c r="E152" s="111"/>
      <c r="F152" s="101"/>
      <c r="G152" s="92"/>
    </row>
    <row r="153" ht="12.75" customHeight="1">
      <c r="A153" s="91"/>
      <c r="B153" s="109"/>
      <c r="C153" s="112"/>
      <c r="D153" s="111"/>
      <c r="E153" s="111"/>
      <c r="F153" s="101"/>
      <c r="G153" s="92"/>
    </row>
    <row r="154" ht="12.75" customHeight="1">
      <c r="A154" s="91"/>
      <c r="B154" s="109"/>
      <c r="C154" s="112"/>
      <c r="D154" s="111"/>
      <c r="E154" s="111"/>
      <c r="F154" s="101"/>
      <c r="G154" s="92"/>
    </row>
    <row r="155" ht="12.75" customHeight="1">
      <c r="A155" s="91"/>
      <c r="B155" s="109"/>
      <c r="C155" s="112"/>
      <c r="D155" s="111"/>
      <c r="E155" s="111"/>
      <c r="F155" s="101"/>
      <c r="G155" s="92"/>
    </row>
    <row r="156" ht="12.75" customHeight="1">
      <c r="A156" s="91"/>
      <c r="B156" s="109"/>
      <c r="C156" s="112"/>
      <c r="D156" s="111"/>
      <c r="E156" s="111"/>
      <c r="F156" s="101"/>
      <c r="G156" s="92"/>
    </row>
    <row r="157" ht="12.75" customHeight="1">
      <c r="A157" s="91"/>
      <c r="B157" s="109"/>
      <c r="C157" s="112"/>
      <c r="D157" s="111"/>
      <c r="E157" s="111"/>
      <c r="F157" s="101"/>
      <c r="G157" s="92"/>
    </row>
    <row r="158" ht="12.75" customHeight="1">
      <c r="A158" s="91"/>
      <c r="B158" s="109"/>
      <c r="C158" s="112"/>
      <c r="D158" s="111"/>
      <c r="E158" s="111"/>
      <c r="F158" s="101"/>
      <c r="G158" s="92"/>
    </row>
    <row r="159" ht="12.75" customHeight="1">
      <c r="A159" s="91"/>
      <c r="B159" s="109"/>
      <c r="C159" s="112"/>
      <c r="D159" s="111"/>
      <c r="E159" s="111"/>
      <c r="F159" s="101"/>
      <c r="G159" s="92"/>
    </row>
    <row r="160" ht="12.75" customHeight="1">
      <c r="A160" s="91"/>
      <c r="B160" s="109"/>
      <c r="C160" s="112"/>
      <c r="D160" s="111"/>
      <c r="E160" s="111"/>
      <c r="F160" s="101"/>
      <c r="G160" s="92"/>
    </row>
    <row r="161" ht="12.75" customHeight="1">
      <c r="A161" s="91"/>
      <c r="B161" s="109"/>
      <c r="C161" s="112"/>
      <c r="D161" s="111"/>
      <c r="E161" s="111"/>
      <c r="F161" s="101"/>
      <c r="G161" s="92"/>
    </row>
    <row r="162" ht="12.75" customHeight="1">
      <c r="A162" s="91"/>
      <c r="B162" s="109"/>
      <c r="C162" s="116"/>
      <c r="D162" s="111"/>
      <c r="E162" s="111"/>
      <c r="F162" s="101"/>
      <c r="G162" s="92"/>
    </row>
    <row r="163" ht="12.75" customHeight="1">
      <c r="A163" s="91"/>
      <c r="B163" s="109"/>
      <c r="C163" s="111"/>
      <c r="D163" s="111"/>
      <c r="E163" s="111"/>
      <c r="F163" s="101"/>
      <c r="G163" s="92"/>
    </row>
    <row r="164" ht="12.75" customHeight="1">
      <c r="A164" s="91"/>
      <c r="B164" s="109"/>
      <c r="C164" s="111"/>
      <c r="D164" s="111"/>
      <c r="E164" s="111"/>
      <c r="F164" s="101"/>
      <c r="G164" s="92"/>
    </row>
    <row r="165" ht="12.75" customHeight="1">
      <c r="A165" s="91"/>
      <c r="B165" s="109"/>
      <c r="C165" s="111"/>
      <c r="D165" s="111"/>
      <c r="E165" s="111"/>
      <c r="F165" s="101"/>
      <c r="G165" s="92"/>
    </row>
    <row r="166" ht="12.75" customHeight="1">
      <c r="A166" s="91"/>
      <c r="B166" s="109"/>
      <c r="C166" s="111"/>
      <c r="D166" s="111"/>
      <c r="E166" s="111"/>
      <c r="F166" s="101"/>
      <c r="G166" s="92"/>
    </row>
    <row r="167" ht="12.75" customHeight="1">
      <c r="A167" s="91"/>
      <c r="B167" s="109"/>
      <c r="C167" s="111"/>
      <c r="D167" s="111"/>
      <c r="E167" s="111"/>
      <c r="F167" s="101"/>
      <c r="G167" s="92"/>
    </row>
    <row r="168" ht="12.75" customHeight="1">
      <c r="A168" s="91"/>
      <c r="B168" s="109"/>
      <c r="C168" s="111"/>
      <c r="D168" s="111"/>
      <c r="E168" s="111"/>
      <c r="F168" s="101"/>
      <c r="G168" s="92"/>
    </row>
    <row r="169" ht="12.75" customHeight="1">
      <c r="A169" s="91"/>
      <c r="B169" s="109"/>
      <c r="C169" s="111"/>
      <c r="D169" s="118"/>
      <c r="E169" s="119"/>
      <c r="F169" s="101"/>
      <c r="G169" s="92"/>
    </row>
    <row r="170" ht="12.75" customHeight="1">
      <c r="A170" s="91"/>
      <c r="B170" s="109"/>
      <c r="C170" s="111"/>
      <c r="D170" s="120"/>
      <c r="E170" s="121"/>
      <c r="F170" s="101"/>
      <c r="G170" s="92"/>
    </row>
    <row r="171" ht="12.75" customHeight="1">
      <c r="A171" s="91"/>
      <c r="B171" s="109"/>
      <c r="C171" s="111"/>
      <c r="D171" s="111"/>
      <c r="E171" s="111"/>
      <c r="F171" s="101"/>
      <c r="G171" s="92"/>
    </row>
    <row r="172" ht="12.75" customHeight="1">
      <c r="A172" s="91"/>
      <c r="B172" s="109"/>
      <c r="C172" s="111"/>
      <c r="D172" s="111"/>
      <c r="E172" s="111"/>
      <c r="F172" s="101"/>
      <c r="G172" s="92"/>
    </row>
    <row r="173" ht="12.75" customHeight="1">
      <c r="A173" s="91"/>
      <c r="B173" s="109"/>
      <c r="C173" s="111"/>
      <c r="D173" s="111"/>
      <c r="E173" s="111"/>
      <c r="F173" s="101"/>
      <c r="G173" s="92"/>
    </row>
    <row r="174" ht="12.75" customHeight="1">
      <c r="A174" s="91"/>
      <c r="B174" s="109"/>
      <c r="C174" s="111"/>
      <c r="D174" s="111"/>
      <c r="E174" s="111"/>
      <c r="F174" s="101"/>
      <c r="G174" s="92"/>
    </row>
    <row r="175" ht="12.75" customHeight="1">
      <c r="A175" s="91"/>
      <c r="B175" s="109"/>
      <c r="C175" s="111"/>
      <c r="D175" s="111"/>
      <c r="E175" s="111"/>
      <c r="F175" s="101"/>
      <c r="G175" s="92"/>
    </row>
    <row r="176" ht="12.75" customHeight="1">
      <c r="A176" s="91"/>
      <c r="B176" s="109"/>
      <c r="C176" s="111"/>
      <c r="D176" s="111"/>
      <c r="E176" s="111"/>
      <c r="F176" s="101"/>
      <c r="G176" s="92"/>
    </row>
    <row r="177" ht="12.75" customHeight="1">
      <c r="A177" s="91"/>
      <c r="B177" s="109"/>
      <c r="C177" s="111"/>
      <c r="D177" s="111"/>
      <c r="E177" s="111"/>
      <c r="F177" s="101"/>
      <c r="G177" s="92"/>
    </row>
    <row r="178" ht="12.75" customHeight="1">
      <c r="A178" s="91"/>
      <c r="B178" s="109"/>
      <c r="C178" s="111"/>
      <c r="D178" s="111"/>
      <c r="E178" s="111"/>
      <c r="F178" s="101"/>
      <c r="G178" s="92"/>
    </row>
    <row r="179" ht="12.75" customHeight="1">
      <c r="A179" s="91"/>
      <c r="B179" s="109"/>
      <c r="C179" s="111"/>
      <c r="D179" s="111"/>
      <c r="E179" s="111"/>
      <c r="F179" s="101"/>
      <c r="G179" s="92"/>
    </row>
    <row r="180" ht="12.75" customHeight="1">
      <c r="A180" s="91"/>
      <c r="B180" s="109"/>
      <c r="C180" s="111"/>
      <c r="D180" s="111"/>
      <c r="E180" s="111"/>
      <c r="F180" s="101"/>
      <c r="G180" s="92"/>
    </row>
    <row r="181" ht="12.75" customHeight="1">
      <c r="A181" s="91"/>
      <c r="B181" s="109"/>
      <c r="C181" s="111"/>
      <c r="D181" s="111"/>
      <c r="E181" s="111"/>
      <c r="F181" s="101"/>
      <c r="G181" s="92"/>
    </row>
    <row r="182" ht="12.75" customHeight="1">
      <c r="A182" s="91"/>
      <c r="B182" s="109"/>
      <c r="C182" s="111"/>
      <c r="D182" s="111"/>
      <c r="E182" s="111"/>
      <c r="F182" s="101"/>
      <c r="G182" s="92"/>
    </row>
    <row r="183" ht="12.75" customHeight="1">
      <c r="A183" s="91"/>
      <c r="B183" s="109"/>
      <c r="C183" s="111"/>
      <c r="D183" s="111"/>
      <c r="E183" s="111"/>
      <c r="F183" s="101"/>
      <c r="G183" s="92"/>
    </row>
    <row r="184" ht="12.75" customHeight="1">
      <c r="A184" s="91"/>
      <c r="B184" s="109"/>
      <c r="C184" s="111"/>
      <c r="D184" s="111"/>
      <c r="E184" s="111"/>
      <c r="F184" s="101"/>
      <c r="G184" s="92"/>
    </row>
    <row r="185" ht="12.75" customHeight="1">
      <c r="A185" s="91"/>
      <c r="B185" s="109"/>
      <c r="C185" s="111"/>
      <c r="D185" s="111"/>
      <c r="E185" s="111"/>
      <c r="F185" s="101"/>
      <c r="G185" s="92"/>
    </row>
    <row r="186" ht="12.75" customHeight="1">
      <c r="A186" s="91"/>
      <c r="B186" s="109"/>
      <c r="C186" s="111"/>
      <c r="D186" s="111"/>
      <c r="E186" s="111"/>
      <c r="F186" s="101"/>
      <c r="G186" s="92"/>
    </row>
    <row r="187" ht="12.75" customHeight="1">
      <c r="A187" s="91"/>
      <c r="B187" s="109"/>
      <c r="C187" s="111"/>
      <c r="D187" s="111"/>
      <c r="E187" s="111"/>
      <c r="F187" s="101"/>
      <c r="G187" s="92"/>
    </row>
    <row r="188" ht="12.75" customHeight="1">
      <c r="A188" s="91"/>
      <c r="B188" s="109"/>
      <c r="C188" s="111"/>
      <c r="D188" s="111"/>
      <c r="E188" s="111"/>
      <c r="F188" s="101"/>
      <c r="G188" s="92"/>
    </row>
    <row r="189" ht="12.75" customHeight="1">
      <c r="A189" s="91"/>
      <c r="B189" s="109"/>
      <c r="C189" s="111"/>
      <c r="D189" s="111"/>
      <c r="E189" s="111"/>
      <c r="F189" s="101"/>
      <c r="G189" s="92"/>
    </row>
    <row r="190" ht="12.75" customHeight="1">
      <c r="A190" s="91"/>
      <c r="B190" s="109"/>
      <c r="C190" s="111"/>
      <c r="D190" s="111"/>
      <c r="E190" s="111"/>
      <c r="F190" s="101"/>
      <c r="G190" s="92"/>
    </row>
    <row r="191" ht="12.75" customHeight="1">
      <c r="A191" s="91"/>
      <c r="B191" s="109"/>
      <c r="C191" s="111"/>
      <c r="D191" s="111"/>
      <c r="E191" s="111"/>
      <c r="F191" s="101"/>
      <c r="G191" s="92"/>
    </row>
    <row r="192" ht="12.75" customHeight="1">
      <c r="A192" s="91"/>
      <c r="B192" s="109"/>
      <c r="C192" s="111"/>
      <c r="D192" s="111"/>
      <c r="E192" s="111"/>
      <c r="F192" s="101"/>
      <c r="G192" s="92"/>
    </row>
    <row r="193" ht="12.75" customHeight="1">
      <c r="A193" s="91"/>
      <c r="B193" s="109"/>
      <c r="C193" s="111"/>
      <c r="D193" s="111"/>
      <c r="E193" s="111"/>
      <c r="F193" s="101"/>
      <c r="G193" s="92"/>
    </row>
    <row r="194" ht="12.75" customHeight="1">
      <c r="A194" s="91"/>
      <c r="B194" s="109"/>
      <c r="C194" s="111"/>
      <c r="D194" s="111"/>
      <c r="E194" s="111"/>
      <c r="F194" s="101"/>
      <c r="G194" s="92"/>
    </row>
    <row r="195" ht="12.75" customHeight="1">
      <c r="A195" s="91"/>
      <c r="B195" s="109"/>
      <c r="C195" s="111"/>
      <c r="D195" s="111"/>
      <c r="E195" s="111"/>
      <c r="F195" s="101"/>
      <c r="G195" s="92"/>
    </row>
    <row r="196" ht="12.75" customHeight="1">
      <c r="A196" s="91"/>
      <c r="B196" s="109"/>
      <c r="C196" s="111"/>
      <c r="D196" s="111"/>
      <c r="E196" s="111"/>
      <c r="F196" s="101"/>
      <c r="G196" s="92"/>
    </row>
    <row r="197" ht="12.75" customHeight="1">
      <c r="A197" s="91"/>
      <c r="B197" s="109"/>
      <c r="C197" s="111"/>
      <c r="D197" s="111"/>
      <c r="E197" s="111"/>
      <c r="F197" s="101"/>
      <c r="G197" s="92"/>
    </row>
    <row r="198" ht="12.75" customHeight="1">
      <c r="A198" s="91"/>
      <c r="B198" s="109"/>
      <c r="C198" s="111"/>
      <c r="D198" s="111"/>
      <c r="E198" s="111"/>
      <c r="F198" s="101"/>
      <c r="G198" s="92"/>
    </row>
    <row r="199" ht="12.75" customHeight="1">
      <c r="A199" s="91"/>
      <c r="B199" s="109"/>
      <c r="C199" s="111"/>
      <c r="D199" s="111"/>
      <c r="E199" s="111"/>
      <c r="F199" s="101"/>
      <c r="G199" s="92"/>
    </row>
    <row r="200" ht="12.75" customHeight="1">
      <c r="A200" s="91"/>
      <c r="B200" s="109"/>
      <c r="C200" s="111"/>
      <c r="D200" s="111"/>
      <c r="E200" s="111"/>
      <c r="F200" s="101"/>
      <c r="G200" s="92"/>
    </row>
    <row r="201" ht="12.75" customHeight="1">
      <c r="A201" s="91"/>
      <c r="B201" s="109"/>
      <c r="C201" s="111"/>
      <c r="D201" s="111"/>
      <c r="E201" s="111"/>
      <c r="F201" s="101"/>
      <c r="G201" s="92"/>
    </row>
    <row r="202" ht="12.75" customHeight="1">
      <c r="A202" s="91"/>
      <c r="B202" s="109"/>
      <c r="C202" s="111"/>
      <c r="D202" s="111"/>
      <c r="E202" s="111"/>
      <c r="F202" s="101"/>
      <c r="G202" s="92"/>
    </row>
    <row r="203" ht="12.75" customHeight="1">
      <c r="A203" s="91"/>
      <c r="B203" s="109"/>
      <c r="C203" s="111"/>
      <c r="D203" s="111"/>
      <c r="E203" s="111"/>
      <c r="F203" s="101"/>
      <c r="G203" s="92"/>
    </row>
    <row r="204" ht="12.75" customHeight="1">
      <c r="A204" s="91"/>
      <c r="B204" s="109"/>
      <c r="C204" s="111"/>
      <c r="D204" s="111"/>
      <c r="E204" s="111"/>
      <c r="F204" s="101"/>
      <c r="G204" s="92"/>
    </row>
    <row r="205" ht="12.75" customHeight="1">
      <c r="A205" s="91"/>
      <c r="B205" s="109"/>
      <c r="C205" s="111"/>
      <c r="D205" s="111"/>
      <c r="E205" s="111"/>
      <c r="F205" s="101"/>
      <c r="G205" s="92"/>
    </row>
    <row r="206" ht="12.75" customHeight="1">
      <c r="A206" s="91"/>
      <c r="B206" s="109"/>
      <c r="C206" s="111"/>
      <c r="D206" s="111"/>
      <c r="E206" s="111"/>
      <c r="F206" s="101"/>
      <c r="G206" s="92"/>
    </row>
    <row r="207" ht="12.75" customHeight="1">
      <c r="A207" s="91"/>
      <c r="B207" s="109"/>
      <c r="C207" s="111"/>
      <c r="D207" s="111"/>
      <c r="E207" s="111"/>
      <c r="F207" s="101"/>
      <c r="G207" s="92"/>
    </row>
    <row r="208" ht="12.75" customHeight="1">
      <c r="A208" s="91"/>
      <c r="B208" s="109"/>
      <c r="C208" s="111"/>
      <c r="D208" s="111"/>
      <c r="E208" s="111"/>
      <c r="F208" s="101"/>
      <c r="G208" s="92"/>
    </row>
    <row r="209" ht="12.75" customHeight="1">
      <c r="A209" s="91"/>
      <c r="B209" s="109"/>
      <c r="C209" s="111"/>
      <c r="D209" s="111"/>
      <c r="E209" s="111"/>
      <c r="F209" s="101"/>
      <c r="G209" s="92"/>
    </row>
    <row r="210" ht="12.75" customHeight="1">
      <c r="A210" s="91"/>
      <c r="B210" s="109"/>
      <c r="C210" s="111"/>
      <c r="D210" s="111"/>
      <c r="E210" s="111"/>
      <c r="F210" s="101"/>
      <c r="G210" s="92"/>
    </row>
    <row r="211" ht="12.75" customHeight="1">
      <c r="A211" s="91"/>
      <c r="B211" s="109"/>
      <c r="C211" s="111"/>
      <c r="D211" s="111"/>
      <c r="E211" s="111"/>
      <c r="F211" s="101"/>
      <c r="G211" s="92"/>
    </row>
    <row r="212" ht="12.75" customHeight="1">
      <c r="A212" s="91"/>
      <c r="B212" s="109"/>
      <c r="C212" s="111"/>
      <c r="D212" s="111"/>
      <c r="E212" s="111"/>
      <c r="F212" s="101"/>
      <c r="G212" s="92"/>
    </row>
    <row r="213" ht="12.75" customHeight="1">
      <c r="A213" s="91"/>
      <c r="B213" s="109"/>
      <c r="C213" s="111"/>
      <c r="D213" s="111"/>
      <c r="E213" s="111"/>
      <c r="F213" s="101"/>
      <c r="G213" s="92"/>
    </row>
    <row r="214" ht="12.75" customHeight="1">
      <c r="A214" s="91"/>
      <c r="B214" s="109"/>
      <c r="C214" s="111"/>
      <c r="D214" s="111"/>
      <c r="E214" s="111"/>
      <c r="F214" s="101"/>
      <c r="G214" s="92"/>
    </row>
    <row r="215" ht="12.75" customHeight="1">
      <c r="A215" s="91"/>
      <c r="B215" s="109"/>
      <c r="C215" s="111"/>
      <c r="D215" s="111"/>
      <c r="E215" s="111"/>
      <c r="F215" s="101"/>
      <c r="G215" s="92"/>
    </row>
    <row r="216" ht="12.75" customHeight="1">
      <c r="A216" s="91"/>
      <c r="B216" s="109"/>
      <c r="C216" s="111"/>
      <c r="D216" s="111"/>
      <c r="E216" s="111"/>
      <c r="F216" s="101"/>
      <c r="G216" s="92"/>
    </row>
    <row r="217" ht="12.75" customHeight="1">
      <c r="A217" s="91"/>
      <c r="B217" s="109"/>
      <c r="C217" s="111"/>
      <c r="D217" s="111"/>
      <c r="E217" s="111"/>
      <c r="F217" s="101"/>
      <c r="G217" s="92"/>
    </row>
    <row r="218" ht="12.75" customHeight="1">
      <c r="A218" s="91"/>
      <c r="B218" s="109"/>
      <c r="C218" s="111"/>
      <c r="D218" s="111"/>
      <c r="E218" s="111"/>
      <c r="F218" s="101"/>
      <c r="G218" s="92"/>
    </row>
    <row r="219" ht="12.75" customHeight="1">
      <c r="A219" s="91"/>
      <c r="B219" s="109"/>
      <c r="C219" s="111"/>
      <c r="D219" s="111"/>
      <c r="E219" s="111"/>
      <c r="F219" s="101"/>
      <c r="G219" s="92"/>
    </row>
    <row r="220" ht="12.75" customHeight="1">
      <c r="A220" s="91"/>
      <c r="B220" s="109"/>
      <c r="C220" s="111"/>
      <c r="D220" s="111"/>
      <c r="E220" s="111"/>
      <c r="F220" s="101"/>
      <c r="G220" s="92"/>
    </row>
    <row r="221" ht="12.75" customHeight="1">
      <c r="A221" s="91"/>
      <c r="B221" s="109"/>
      <c r="C221" s="111"/>
      <c r="D221" s="111"/>
      <c r="E221" s="111"/>
      <c r="F221" s="101"/>
      <c r="G221" s="92"/>
    </row>
    <row r="222" ht="12.75" customHeight="1">
      <c r="A222" s="91"/>
      <c r="B222" s="109"/>
      <c r="C222" s="111"/>
      <c r="D222" s="111"/>
      <c r="E222" s="111"/>
      <c r="F222" s="101"/>
      <c r="G222" s="92"/>
    </row>
    <row r="223" ht="12.75" customHeight="1">
      <c r="A223" s="91"/>
      <c r="B223" s="109"/>
      <c r="C223" s="111"/>
      <c r="D223" s="111"/>
      <c r="E223" s="111"/>
      <c r="F223" s="101"/>
      <c r="G223" s="92"/>
    </row>
    <row r="224" ht="12.75" customHeight="1">
      <c r="A224" s="91"/>
      <c r="B224" s="109"/>
      <c r="C224" s="111"/>
      <c r="D224" s="111"/>
      <c r="E224" s="111"/>
      <c r="F224" s="101"/>
      <c r="G224" s="92"/>
    </row>
    <row r="225" ht="12.75" customHeight="1">
      <c r="A225" s="91"/>
      <c r="B225" s="109"/>
      <c r="C225" s="111"/>
      <c r="D225" s="111"/>
      <c r="E225" s="111"/>
      <c r="F225" s="101"/>
      <c r="G225" s="92"/>
    </row>
    <row r="226" ht="12.75" customHeight="1">
      <c r="A226" s="91"/>
      <c r="B226" s="109"/>
      <c r="C226" s="111"/>
      <c r="D226" s="111"/>
      <c r="E226" s="111"/>
      <c r="F226" s="101"/>
      <c r="G226" s="92"/>
    </row>
    <row r="227" ht="12.75" customHeight="1">
      <c r="A227" s="91"/>
      <c r="B227" s="109"/>
      <c r="C227" s="111"/>
      <c r="D227" s="111"/>
      <c r="E227" s="111"/>
      <c r="F227" s="101"/>
      <c r="G227" s="92"/>
    </row>
    <row r="228" ht="12.75" customHeight="1">
      <c r="A228" s="91"/>
      <c r="B228" s="109"/>
      <c r="C228" s="111"/>
      <c r="D228" s="111"/>
      <c r="E228" s="111"/>
      <c r="F228" s="101"/>
      <c r="G228" s="92"/>
    </row>
    <row r="229" ht="12.75" customHeight="1">
      <c r="A229" s="91"/>
      <c r="B229" s="109"/>
      <c r="C229" s="111"/>
      <c r="D229" s="111"/>
      <c r="E229" s="111"/>
      <c r="F229" s="101"/>
      <c r="G229" s="92"/>
    </row>
    <row r="230" ht="12.75" customHeight="1">
      <c r="A230" s="91"/>
      <c r="B230" s="109"/>
      <c r="C230" s="111"/>
      <c r="D230" s="111"/>
      <c r="E230" s="111"/>
      <c r="F230" s="101"/>
      <c r="G230" s="92"/>
    </row>
    <row r="231" ht="12.75" customHeight="1">
      <c r="A231" s="91"/>
      <c r="B231" s="109"/>
      <c r="C231" s="111"/>
      <c r="D231" s="111"/>
      <c r="E231" s="111"/>
      <c r="F231" s="101"/>
      <c r="G231" s="92"/>
    </row>
    <row r="232" ht="12.75" customHeight="1">
      <c r="A232" s="91"/>
      <c r="B232" s="109"/>
      <c r="C232" s="111"/>
      <c r="D232" s="111"/>
      <c r="E232" s="111"/>
      <c r="F232" s="101"/>
      <c r="G232" s="92"/>
    </row>
    <row r="233" ht="12.75" customHeight="1">
      <c r="A233" s="91"/>
      <c r="B233" s="109"/>
      <c r="C233" s="111"/>
      <c r="D233" s="111"/>
      <c r="E233" s="111"/>
      <c r="F233" s="101"/>
      <c r="G233" s="92"/>
    </row>
    <row r="234" ht="12.75" customHeight="1">
      <c r="A234" s="91"/>
      <c r="B234" s="109"/>
      <c r="C234" s="111"/>
      <c r="D234" s="111"/>
      <c r="E234" s="111"/>
      <c r="F234" s="101"/>
      <c r="G234" s="92"/>
    </row>
    <row r="235" ht="12.75" customHeight="1">
      <c r="A235" s="91"/>
      <c r="B235" s="109"/>
      <c r="C235" s="111"/>
      <c r="D235" s="111"/>
      <c r="E235" s="111"/>
      <c r="F235" s="101"/>
      <c r="G235" s="92"/>
    </row>
    <row r="236" ht="12.75" customHeight="1">
      <c r="A236" s="91"/>
      <c r="B236" s="109"/>
      <c r="C236" s="111"/>
      <c r="D236" s="111"/>
      <c r="E236" s="111"/>
      <c r="F236" s="101"/>
      <c r="G236" s="92"/>
    </row>
    <row r="237" ht="12.75" customHeight="1">
      <c r="A237" s="91"/>
      <c r="B237" s="109"/>
      <c r="C237" s="111"/>
      <c r="D237" s="111"/>
      <c r="E237" s="111"/>
      <c r="F237" s="101"/>
      <c r="G237" s="92"/>
    </row>
    <row r="238" ht="12.75" customHeight="1">
      <c r="A238" s="91"/>
      <c r="B238" s="109"/>
      <c r="C238" s="111"/>
      <c r="D238" s="111"/>
      <c r="E238" s="111"/>
      <c r="F238" s="101"/>
      <c r="G238" s="92"/>
    </row>
    <row r="239" ht="12.75" customHeight="1">
      <c r="A239" s="91"/>
      <c r="B239" s="109"/>
      <c r="C239" s="111"/>
      <c r="D239" s="111"/>
      <c r="E239" s="111"/>
      <c r="F239" s="101"/>
      <c r="G239" s="92"/>
    </row>
    <row r="240" ht="12.75" customHeight="1">
      <c r="A240" s="91"/>
      <c r="B240" s="109"/>
      <c r="C240" s="111"/>
      <c r="D240" s="111"/>
      <c r="E240" s="111"/>
      <c r="F240" s="101"/>
      <c r="G240" s="92"/>
    </row>
    <row r="241" ht="12.75" customHeight="1">
      <c r="A241" s="91"/>
      <c r="B241" s="109"/>
      <c r="C241" s="111"/>
      <c r="D241" s="111"/>
      <c r="E241" s="111"/>
      <c r="F241" s="101"/>
      <c r="G241" s="92"/>
    </row>
    <row r="242" ht="12.75" customHeight="1">
      <c r="A242" s="91"/>
      <c r="B242" s="109"/>
      <c r="C242" s="111"/>
      <c r="D242" s="111"/>
      <c r="E242" s="111"/>
      <c r="F242" s="101"/>
      <c r="G242" s="92"/>
    </row>
    <row r="243" ht="12.75" customHeight="1">
      <c r="A243" s="91"/>
      <c r="B243" s="109"/>
      <c r="C243" s="111"/>
      <c r="D243" s="111"/>
      <c r="E243" s="111"/>
      <c r="F243" s="101"/>
      <c r="G243" s="92"/>
    </row>
    <row r="244" ht="12.75" customHeight="1">
      <c r="A244" s="91"/>
      <c r="B244" s="109"/>
      <c r="C244" s="111"/>
      <c r="D244" s="111"/>
      <c r="E244" s="111"/>
      <c r="F244" s="101"/>
      <c r="G244" s="92"/>
    </row>
    <row r="245" ht="12.75" customHeight="1">
      <c r="A245" s="91"/>
      <c r="B245" s="109"/>
      <c r="C245" s="111"/>
      <c r="D245" s="111"/>
      <c r="E245" s="111"/>
      <c r="F245" s="101"/>
      <c r="G245" s="92"/>
    </row>
    <row r="246" ht="12.75" customHeight="1">
      <c r="A246" s="91"/>
      <c r="B246" s="109"/>
      <c r="C246" s="111"/>
      <c r="D246" s="111"/>
      <c r="E246" s="111"/>
      <c r="F246" s="101"/>
      <c r="G246" s="92"/>
    </row>
    <row r="247" ht="12.75" customHeight="1">
      <c r="A247" s="91"/>
      <c r="B247" s="73"/>
      <c r="C247" s="111"/>
      <c r="D247" s="111"/>
      <c r="E247" s="111"/>
      <c r="F247" s="101"/>
      <c r="G247" s="92"/>
    </row>
    <row r="248" ht="12.75" customHeight="1">
      <c r="A248" s="91"/>
      <c r="B248" s="109"/>
      <c r="C248" s="111"/>
      <c r="D248" s="111"/>
      <c r="E248" s="111"/>
      <c r="F248" s="101"/>
      <c r="G248" s="92"/>
    </row>
    <row r="249" ht="12.75" customHeight="1">
      <c r="A249" s="91"/>
      <c r="B249" s="109"/>
      <c r="C249" s="111"/>
      <c r="D249" s="111"/>
      <c r="E249" s="111"/>
      <c r="F249" s="101"/>
      <c r="G249" s="92"/>
    </row>
    <row r="250" ht="12.75" customHeight="1">
      <c r="A250" s="91"/>
      <c r="B250" s="109"/>
      <c r="C250" s="111"/>
      <c r="D250" s="111"/>
      <c r="E250" s="111"/>
      <c r="F250" s="101"/>
      <c r="G250" s="92"/>
    </row>
    <row r="251" ht="12.75" customHeight="1">
      <c r="A251" s="91"/>
      <c r="B251" s="109"/>
      <c r="C251" s="111"/>
      <c r="D251" s="111"/>
      <c r="E251" s="111"/>
      <c r="F251" s="101"/>
      <c r="G251" s="92"/>
    </row>
    <row r="252" ht="12.75" customHeight="1">
      <c r="A252" s="91"/>
      <c r="B252" s="109"/>
      <c r="C252" s="111"/>
      <c r="D252" s="111"/>
      <c r="E252" s="111"/>
      <c r="F252" s="101"/>
      <c r="G252" s="92"/>
    </row>
    <row r="253" ht="12.75" customHeight="1">
      <c r="A253" s="91"/>
      <c r="B253" s="109"/>
      <c r="C253" s="111"/>
      <c r="D253" s="111"/>
      <c r="E253" s="111"/>
      <c r="F253" s="101"/>
      <c r="G253" s="92"/>
    </row>
    <row r="254" ht="12.75" customHeight="1">
      <c r="A254" s="91"/>
      <c r="B254" s="109"/>
      <c r="C254" s="111"/>
      <c r="D254" s="111"/>
      <c r="E254" s="111"/>
      <c r="F254" s="101"/>
      <c r="G254" s="92"/>
    </row>
    <row r="255" ht="12.75" customHeight="1">
      <c r="A255" s="91"/>
      <c r="B255" s="109"/>
      <c r="C255" s="111"/>
      <c r="D255" s="111"/>
      <c r="E255" s="111"/>
      <c r="F255" s="101"/>
      <c r="G255" s="92"/>
    </row>
    <row r="256" ht="12.75" customHeight="1">
      <c r="A256" s="91"/>
      <c r="B256" s="109"/>
      <c r="C256" s="111"/>
      <c r="D256" s="111"/>
      <c r="E256" s="111"/>
      <c r="F256" s="101"/>
      <c r="G256" s="92"/>
    </row>
    <row r="257" ht="12.75" customHeight="1">
      <c r="A257" s="91"/>
      <c r="B257" s="109"/>
      <c r="C257" s="111"/>
      <c r="D257" s="111"/>
      <c r="E257" s="111"/>
      <c r="F257" s="101"/>
      <c r="G257" s="92"/>
    </row>
    <row r="258" ht="12.75" customHeight="1">
      <c r="A258" s="91"/>
      <c r="B258" s="109"/>
      <c r="C258" s="111"/>
      <c r="D258" s="111"/>
      <c r="E258" s="111"/>
      <c r="F258" s="101"/>
      <c r="G258" s="92"/>
    </row>
    <row r="259" ht="12.75" customHeight="1">
      <c r="A259" s="91"/>
      <c r="B259" s="109"/>
      <c r="C259" s="111"/>
      <c r="D259" s="111"/>
      <c r="E259" s="111"/>
      <c r="F259" s="101"/>
      <c r="G259" s="92"/>
    </row>
    <row r="260" ht="12.75" customHeight="1">
      <c r="A260" s="91"/>
      <c r="B260" s="109"/>
      <c r="C260" s="111"/>
      <c r="D260" s="111"/>
      <c r="E260" s="111"/>
      <c r="F260" s="101"/>
      <c r="G260" s="92"/>
    </row>
    <row r="261" ht="12.75" customHeight="1">
      <c r="A261" s="91"/>
      <c r="B261" s="109"/>
      <c r="C261" s="111"/>
      <c r="D261" s="111"/>
      <c r="E261" s="111"/>
      <c r="F261" s="101"/>
      <c r="G261" s="92"/>
    </row>
    <row r="262" ht="12.75" customHeight="1">
      <c r="A262" s="91"/>
      <c r="B262" s="109"/>
      <c r="C262" s="111"/>
      <c r="D262" s="111"/>
      <c r="E262" s="111"/>
      <c r="F262" s="101"/>
      <c r="G262" s="92"/>
    </row>
    <row r="263" ht="12.75" customHeight="1">
      <c r="A263" s="91"/>
      <c r="B263" s="109"/>
      <c r="C263" s="111"/>
      <c r="D263" s="111"/>
      <c r="E263" s="111"/>
      <c r="F263" s="101"/>
      <c r="G263" s="92"/>
    </row>
    <row r="264" ht="12.75" customHeight="1">
      <c r="A264" s="91"/>
      <c r="B264" s="109"/>
      <c r="C264" s="111"/>
      <c r="D264" s="111"/>
      <c r="E264" s="111"/>
      <c r="F264" s="101"/>
      <c r="G264" s="92"/>
    </row>
    <row r="265" ht="12.75" customHeight="1">
      <c r="A265" s="91"/>
      <c r="B265" s="109"/>
      <c r="C265" s="111"/>
      <c r="D265" s="111"/>
      <c r="E265" s="111"/>
      <c r="F265" s="101"/>
      <c r="G265" s="92"/>
    </row>
    <row r="266" ht="12.75" customHeight="1">
      <c r="A266" s="91"/>
      <c r="B266" s="109"/>
      <c r="C266" s="111"/>
      <c r="D266" s="111"/>
      <c r="E266" s="111"/>
      <c r="F266" s="101"/>
      <c r="G266" s="92"/>
    </row>
    <row r="267" ht="12.75" customHeight="1">
      <c r="A267" s="91"/>
      <c r="B267" s="109"/>
      <c r="C267" s="111"/>
      <c r="D267" s="111"/>
      <c r="E267" s="111"/>
      <c r="F267" s="101"/>
      <c r="G267" s="92"/>
    </row>
    <row r="268" ht="12.75" customHeight="1">
      <c r="A268" s="91"/>
      <c r="B268" s="109"/>
      <c r="C268" s="111"/>
      <c r="D268" s="111"/>
      <c r="E268" s="111"/>
      <c r="F268" s="101"/>
      <c r="G268" s="92"/>
    </row>
    <row r="269" ht="12.75" customHeight="1">
      <c r="A269" s="91"/>
      <c r="B269" s="109"/>
      <c r="C269" s="111"/>
      <c r="D269" s="111"/>
      <c r="E269" s="111"/>
      <c r="F269" s="101"/>
      <c r="G269" s="92"/>
    </row>
    <row r="270" ht="12.75" customHeight="1">
      <c r="A270" s="91"/>
      <c r="B270" s="109"/>
      <c r="C270" s="111"/>
      <c r="D270" s="111"/>
      <c r="E270" s="111"/>
      <c r="F270" s="101"/>
      <c r="G270" s="92"/>
    </row>
    <row r="271" ht="12.75" customHeight="1">
      <c r="A271" s="91"/>
      <c r="B271" s="109"/>
      <c r="C271" s="111"/>
      <c r="D271" s="111"/>
      <c r="E271" s="111"/>
      <c r="F271" s="101"/>
      <c r="G271" s="92"/>
    </row>
    <row r="272" ht="12.75" customHeight="1">
      <c r="A272" s="91"/>
      <c r="B272" s="109"/>
      <c r="C272" s="111"/>
      <c r="D272" s="111"/>
      <c r="E272" s="111"/>
      <c r="F272" s="101"/>
      <c r="G272" s="92"/>
    </row>
    <row r="273" ht="12.75" customHeight="1">
      <c r="A273" s="91"/>
      <c r="B273" s="109"/>
      <c r="C273" s="111"/>
      <c r="D273" s="111"/>
      <c r="E273" s="111"/>
      <c r="F273" s="101"/>
      <c r="G273" s="92"/>
    </row>
    <row r="274" ht="12.75" customHeight="1">
      <c r="A274" s="91"/>
      <c r="B274" s="109"/>
      <c r="C274" s="111"/>
      <c r="D274" s="111"/>
      <c r="E274" s="111"/>
      <c r="F274" s="101"/>
      <c r="G274" s="92"/>
    </row>
    <row r="275" ht="12.75" customHeight="1">
      <c r="A275" s="91"/>
      <c r="B275" s="109"/>
      <c r="C275" s="111"/>
      <c r="D275" s="111"/>
      <c r="E275" s="111"/>
      <c r="F275" s="101"/>
      <c r="G275" s="92"/>
    </row>
    <row r="276" ht="12.75" customHeight="1">
      <c r="A276" s="91"/>
      <c r="B276" s="109"/>
      <c r="C276" s="111"/>
      <c r="D276" s="111"/>
      <c r="E276" s="111"/>
      <c r="F276" s="101"/>
      <c r="G276" s="92"/>
    </row>
    <row r="277" ht="12.75" customHeight="1">
      <c r="A277" s="91"/>
      <c r="B277" s="109"/>
      <c r="C277" s="111"/>
      <c r="D277" s="111"/>
      <c r="E277" s="111"/>
      <c r="F277" s="101"/>
      <c r="G277" s="92"/>
    </row>
    <row r="278" ht="12.75" customHeight="1">
      <c r="A278" s="91"/>
      <c r="B278" s="109"/>
      <c r="C278" s="111"/>
      <c r="D278" s="111"/>
      <c r="E278" s="111"/>
      <c r="F278" s="101"/>
      <c r="G278" s="92"/>
    </row>
    <row r="279" ht="12.75" customHeight="1">
      <c r="A279" s="91"/>
      <c r="B279" s="109"/>
      <c r="C279" s="111"/>
      <c r="D279" s="111"/>
      <c r="E279" s="111"/>
      <c r="F279" s="101"/>
      <c r="G279" s="92"/>
    </row>
    <row r="280" ht="12.75" customHeight="1">
      <c r="A280" s="91"/>
      <c r="B280" s="109"/>
      <c r="C280" s="111"/>
      <c r="D280" s="111"/>
      <c r="E280" s="111"/>
      <c r="F280" s="101"/>
      <c r="G280" s="92"/>
    </row>
    <row r="281" ht="12.75" customHeight="1">
      <c r="A281" s="91"/>
      <c r="B281" s="109"/>
      <c r="C281" s="111"/>
      <c r="D281" s="111"/>
      <c r="E281" s="111"/>
      <c r="F281" s="101"/>
      <c r="G281" s="92"/>
    </row>
    <row r="282" ht="12.75" customHeight="1">
      <c r="A282" s="91"/>
      <c r="B282" s="109"/>
      <c r="C282" s="111"/>
      <c r="D282" s="111"/>
      <c r="E282" s="111"/>
      <c r="F282" s="101"/>
      <c r="G282" s="92"/>
    </row>
    <row r="283" ht="12.75" customHeight="1">
      <c r="A283" s="91"/>
      <c r="B283" s="109"/>
      <c r="C283" s="111"/>
      <c r="D283" s="111"/>
      <c r="E283" s="111"/>
      <c r="F283" s="101"/>
      <c r="G283" s="92"/>
    </row>
    <row r="284" ht="12.75" customHeight="1">
      <c r="A284" s="91"/>
      <c r="B284" s="109"/>
      <c r="C284" s="111"/>
      <c r="D284" s="111"/>
      <c r="E284" s="111"/>
      <c r="F284" s="101"/>
      <c r="G284" s="92"/>
    </row>
    <row r="285" ht="12.75" customHeight="1">
      <c r="A285" s="91"/>
      <c r="B285" s="109"/>
      <c r="C285" s="111"/>
      <c r="D285" s="111"/>
      <c r="E285" s="111"/>
      <c r="F285" s="101"/>
      <c r="G285" s="92"/>
    </row>
    <row r="286" ht="12.75" customHeight="1">
      <c r="A286" s="91"/>
      <c r="B286" s="109"/>
      <c r="C286" s="111"/>
      <c r="D286" s="111"/>
      <c r="E286" s="111"/>
      <c r="F286" s="101"/>
      <c r="G286" s="92"/>
    </row>
    <row r="287" ht="12.75" customHeight="1">
      <c r="A287" s="91"/>
      <c r="B287" s="109"/>
      <c r="C287" s="111"/>
      <c r="D287" s="111"/>
      <c r="E287" s="111"/>
      <c r="F287" s="101"/>
      <c r="G287" s="92"/>
    </row>
    <row r="288" ht="12.75" customHeight="1">
      <c r="A288" s="91"/>
      <c r="B288" s="109"/>
      <c r="C288" s="111"/>
      <c r="D288" s="111"/>
      <c r="E288" s="111"/>
      <c r="F288" s="101"/>
      <c r="G288" s="92"/>
    </row>
    <row r="289" ht="12.75" customHeight="1">
      <c r="A289" s="91"/>
      <c r="B289" s="109"/>
      <c r="C289" s="111"/>
      <c r="D289" s="111"/>
      <c r="E289" s="111"/>
      <c r="F289" s="101"/>
      <c r="G289" s="92"/>
    </row>
    <row r="290" ht="12.75" customHeight="1">
      <c r="A290" s="91"/>
      <c r="B290" s="109"/>
      <c r="C290" s="111"/>
      <c r="D290" s="111"/>
      <c r="E290" s="111"/>
      <c r="F290" s="101"/>
      <c r="G290" s="92"/>
    </row>
    <row r="291" ht="12.75" customHeight="1">
      <c r="A291" s="91"/>
      <c r="B291" s="109"/>
      <c r="C291" s="111"/>
      <c r="D291" s="111"/>
      <c r="E291" s="111"/>
      <c r="F291" s="101"/>
      <c r="G291" s="92"/>
    </row>
    <row r="292" ht="12.75" customHeight="1">
      <c r="A292" s="91"/>
      <c r="B292" s="109"/>
      <c r="C292" s="111"/>
      <c r="D292" s="111"/>
      <c r="E292" s="111"/>
      <c r="F292" s="101"/>
      <c r="G292" s="92"/>
    </row>
    <row r="293" ht="12.75" customHeight="1">
      <c r="A293" s="91"/>
      <c r="B293" s="109"/>
      <c r="C293" s="111"/>
      <c r="D293" s="111"/>
      <c r="E293" s="111"/>
      <c r="F293" s="101"/>
      <c r="G293" s="92"/>
    </row>
    <row r="294" ht="12.75" customHeight="1">
      <c r="A294" s="91"/>
      <c r="B294" s="109"/>
      <c r="C294" s="111"/>
      <c r="D294" s="111"/>
      <c r="E294" s="111"/>
      <c r="F294" s="101"/>
      <c r="G294" s="92"/>
    </row>
    <row r="295" ht="12.75" customHeight="1">
      <c r="A295" s="91"/>
      <c r="B295" s="109"/>
      <c r="C295" s="111"/>
      <c r="D295" s="111"/>
      <c r="E295" s="111"/>
      <c r="F295" s="101"/>
      <c r="G295" s="92"/>
    </row>
    <row r="296" ht="12.75" customHeight="1">
      <c r="A296" s="91"/>
      <c r="B296" s="109"/>
      <c r="C296" s="111"/>
      <c r="D296" s="111"/>
      <c r="E296" s="111"/>
      <c r="F296" s="101"/>
      <c r="G296" s="92"/>
    </row>
    <row r="297" ht="12.75" customHeight="1">
      <c r="A297" s="91"/>
      <c r="B297" s="109"/>
      <c r="C297" s="111"/>
      <c r="D297" s="111"/>
      <c r="E297" s="111"/>
      <c r="F297" s="101"/>
      <c r="G297" s="92"/>
    </row>
    <row r="298" ht="12.75" customHeight="1">
      <c r="A298" s="91"/>
      <c r="B298" s="109"/>
      <c r="C298" s="111"/>
      <c r="D298" s="111"/>
      <c r="E298" s="111"/>
      <c r="F298" s="101"/>
      <c r="G298" s="92"/>
    </row>
    <row r="299" ht="12.75" customHeight="1">
      <c r="A299" s="91"/>
      <c r="B299" s="109"/>
      <c r="C299" s="111"/>
      <c r="D299" s="111"/>
      <c r="E299" s="111"/>
      <c r="F299" s="101"/>
      <c r="G299" s="92"/>
    </row>
    <row r="300" ht="12.75" customHeight="1">
      <c r="A300" s="91"/>
      <c r="B300" s="109"/>
      <c r="C300" s="111"/>
      <c r="D300" s="111"/>
      <c r="E300" s="111"/>
      <c r="F300" s="101"/>
      <c r="G300" s="92"/>
    </row>
    <row r="301" ht="12.75" customHeight="1">
      <c r="A301" s="91"/>
      <c r="B301" s="109"/>
      <c r="C301" s="111"/>
      <c r="D301" s="111"/>
      <c r="E301" s="111"/>
      <c r="F301" s="101"/>
      <c r="G301" s="92"/>
    </row>
    <row r="302" ht="12.75" customHeight="1">
      <c r="A302" s="91"/>
      <c r="B302" s="109"/>
      <c r="C302" s="111"/>
      <c r="D302" s="111"/>
      <c r="E302" s="111"/>
      <c r="F302" s="101"/>
      <c r="G302" s="92"/>
    </row>
    <row r="303" ht="12.75" customHeight="1">
      <c r="A303" s="91"/>
      <c r="B303" s="109"/>
      <c r="C303" s="111"/>
      <c r="D303" s="111"/>
      <c r="E303" s="111"/>
      <c r="F303" s="101"/>
      <c r="G303" s="92"/>
    </row>
    <row r="304" ht="12.75" customHeight="1">
      <c r="A304" s="91"/>
      <c r="B304" s="109"/>
      <c r="C304" s="111"/>
      <c r="D304" s="111"/>
      <c r="E304" s="111"/>
      <c r="F304" s="101"/>
      <c r="G304" s="92"/>
    </row>
    <row r="305" ht="12.75" customHeight="1">
      <c r="A305" s="91"/>
      <c r="B305" s="109"/>
      <c r="C305" s="111"/>
      <c r="D305" s="111"/>
      <c r="E305" s="111"/>
      <c r="F305" s="101"/>
      <c r="G305" s="92"/>
    </row>
    <row r="306" ht="12.75" customHeight="1">
      <c r="A306" s="91"/>
      <c r="B306" s="73"/>
      <c r="C306" s="111"/>
      <c r="D306" s="111"/>
      <c r="E306" s="111"/>
      <c r="F306" s="101"/>
      <c r="G306" s="92"/>
    </row>
    <row r="307" ht="12.75" customHeight="1">
      <c r="A307" s="91"/>
      <c r="B307" s="109"/>
      <c r="C307" s="111"/>
      <c r="D307" s="111"/>
      <c r="E307" s="111"/>
      <c r="F307" s="101"/>
      <c r="G307" s="92"/>
    </row>
    <row r="308" ht="12.75" customHeight="1">
      <c r="A308" s="91"/>
      <c r="B308" s="109"/>
      <c r="C308" s="111"/>
      <c r="D308" s="111"/>
      <c r="E308" s="111"/>
      <c r="F308" s="101"/>
      <c r="G308" s="92"/>
    </row>
    <row r="309" ht="12.75" customHeight="1">
      <c r="A309" s="91"/>
      <c r="B309" s="109"/>
      <c r="C309" s="111"/>
      <c r="D309" s="111"/>
      <c r="E309" s="111"/>
      <c r="F309" s="101"/>
      <c r="G309" s="92"/>
    </row>
    <row r="310" ht="12.75" customHeight="1">
      <c r="A310" s="91"/>
      <c r="B310" s="109"/>
      <c r="C310" s="111"/>
      <c r="D310" s="111"/>
      <c r="E310" s="111"/>
      <c r="F310" s="101"/>
      <c r="G310" s="92"/>
    </row>
    <row r="311" ht="12.75" customHeight="1">
      <c r="A311" s="91"/>
      <c r="B311" s="109"/>
      <c r="C311" s="111"/>
      <c r="D311" s="111"/>
      <c r="E311" s="111"/>
      <c r="F311" s="101"/>
      <c r="G311" s="92"/>
    </row>
    <row r="312" ht="12.75" customHeight="1">
      <c r="A312" s="91"/>
      <c r="B312" s="109"/>
      <c r="C312" s="111"/>
      <c r="D312" s="111"/>
      <c r="E312" s="111"/>
      <c r="F312" s="101"/>
      <c r="G312" s="92"/>
    </row>
    <row r="313" ht="12.75" customHeight="1">
      <c r="A313" s="91"/>
      <c r="B313" s="109"/>
      <c r="C313" s="111"/>
      <c r="D313" s="111"/>
      <c r="E313" s="111"/>
      <c r="F313" s="101"/>
      <c r="G313" s="92"/>
    </row>
    <row r="314" ht="12.75" customHeight="1">
      <c r="A314" s="91"/>
      <c r="B314" s="109"/>
      <c r="C314" s="111"/>
      <c r="D314" s="111"/>
      <c r="E314" s="111"/>
      <c r="F314" s="101"/>
      <c r="G314" s="92"/>
    </row>
    <row r="315" ht="12.75" customHeight="1">
      <c r="A315" s="91"/>
      <c r="B315" s="109"/>
      <c r="C315" s="111"/>
      <c r="D315" s="111"/>
      <c r="E315" s="111"/>
      <c r="F315" s="101"/>
      <c r="G315" s="92"/>
    </row>
    <row r="316" ht="12.75" customHeight="1">
      <c r="A316" s="91"/>
      <c r="B316" s="109"/>
      <c r="C316" s="111"/>
      <c r="D316" s="111"/>
      <c r="E316" s="111"/>
      <c r="F316" s="101"/>
      <c r="G316" s="92"/>
    </row>
    <row r="317" ht="12.75" customHeight="1">
      <c r="A317" s="91"/>
      <c r="B317" s="109"/>
      <c r="C317" s="111"/>
      <c r="D317" s="111"/>
      <c r="E317" s="111"/>
      <c r="F317" s="101"/>
      <c r="G317" s="92"/>
    </row>
    <row r="318" ht="12.75" customHeight="1">
      <c r="A318" s="91"/>
      <c r="B318" s="109"/>
      <c r="C318" s="111"/>
      <c r="D318" s="111"/>
      <c r="E318" s="111"/>
      <c r="F318" s="101"/>
      <c r="G318" s="92"/>
    </row>
    <row r="319" ht="12.75" customHeight="1">
      <c r="A319" s="91"/>
      <c r="B319" s="109"/>
      <c r="C319" s="111"/>
      <c r="D319" s="111"/>
      <c r="E319" s="111"/>
      <c r="F319" s="101"/>
      <c r="G319" s="92"/>
    </row>
    <row r="320" ht="12.75" customHeight="1">
      <c r="A320" s="91"/>
      <c r="B320" s="109"/>
      <c r="C320" s="111"/>
      <c r="D320" s="111"/>
      <c r="E320" s="111"/>
      <c r="F320" s="101"/>
      <c r="G320" s="92"/>
    </row>
    <row r="321" ht="12.75" customHeight="1">
      <c r="A321" s="91"/>
      <c r="B321" s="109"/>
      <c r="C321" s="111"/>
      <c r="D321" s="111"/>
      <c r="E321" s="111"/>
      <c r="F321" s="101"/>
      <c r="G321" s="92"/>
    </row>
    <row r="322" ht="12.75" customHeight="1">
      <c r="A322" s="91"/>
      <c r="B322" s="109"/>
      <c r="C322" s="111"/>
      <c r="D322" s="111"/>
      <c r="E322" s="111"/>
      <c r="F322" s="101"/>
      <c r="G322" s="92"/>
    </row>
    <row r="323" ht="12.75" customHeight="1">
      <c r="A323" s="91"/>
      <c r="B323" s="109"/>
      <c r="C323" s="111"/>
      <c r="D323" s="111"/>
      <c r="E323" s="111"/>
      <c r="F323" s="101"/>
      <c r="G323" s="92"/>
    </row>
    <row r="324" ht="12.75" customHeight="1">
      <c r="A324" s="91"/>
      <c r="B324" s="109"/>
      <c r="C324" s="111"/>
      <c r="D324" s="111"/>
      <c r="E324" s="111"/>
      <c r="F324" s="101"/>
      <c r="G324" s="92"/>
    </row>
    <row r="325" ht="12.75" customHeight="1">
      <c r="A325" s="91"/>
      <c r="B325" s="109"/>
      <c r="C325" s="111"/>
      <c r="D325" s="111"/>
      <c r="E325" s="111"/>
      <c r="F325" s="101"/>
      <c r="G325" s="92"/>
    </row>
    <row r="326" ht="12.75" customHeight="1">
      <c r="A326" s="91"/>
      <c r="B326" s="109"/>
      <c r="C326" s="111"/>
      <c r="D326" s="111"/>
      <c r="E326" s="111"/>
      <c r="F326" s="101"/>
      <c r="G326" s="92"/>
    </row>
    <row r="327" ht="12.75" customHeight="1">
      <c r="A327" s="91"/>
      <c r="B327" s="109"/>
      <c r="C327" s="111"/>
      <c r="D327" s="111"/>
      <c r="E327" s="111"/>
      <c r="F327" s="101"/>
      <c r="G327" s="92"/>
    </row>
    <row r="328" ht="12.75" customHeight="1">
      <c r="A328" s="91"/>
      <c r="B328" s="109"/>
      <c r="C328" s="111"/>
      <c r="D328" s="111"/>
      <c r="E328" s="111"/>
      <c r="F328" s="101"/>
      <c r="G328" s="92"/>
    </row>
    <row r="329" ht="12.75" customHeight="1">
      <c r="A329" s="91"/>
      <c r="B329" s="109"/>
      <c r="C329" s="111"/>
      <c r="D329" s="111"/>
      <c r="E329" s="111"/>
      <c r="F329" s="101"/>
      <c r="G329" s="92"/>
    </row>
    <row r="330" ht="12.75" customHeight="1">
      <c r="A330" s="91"/>
      <c r="B330" s="109"/>
      <c r="C330" s="111"/>
      <c r="D330" s="111"/>
      <c r="E330" s="111"/>
      <c r="F330" s="101"/>
      <c r="G330" s="92"/>
    </row>
    <row r="331" ht="12.75" customHeight="1">
      <c r="A331" s="91"/>
      <c r="B331" s="109"/>
      <c r="C331" s="111"/>
      <c r="D331" s="111"/>
      <c r="E331" s="111"/>
      <c r="F331" s="101"/>
      <c r="G331" s="92"/>
    </row>
    <row r="332" ht="12.75" customHeight="1">
      <c r="A332" s="91"/>
      <c r="B332" s="109"/>
      <c r="C332" s="111"/>
      <c r="D332" s="111"/>
      <c r="E332" s="111"/>
      <c r="F332" s="101"/>
      <c r="G332" s="92"/>
    </row>
    <row r="333" ht="12.75" customHeight="1">
      <c r="A333" s="91"/>
      <c r="B333" s="109"/>
      <c r="C333" s="111"/>
      <c r="D333" s="111"/>
      <c r="E333" s="111"/>
      <c r="F333" s="101"/>
      <c r="G333" s="92"/>
    </row>
    <row r="334" ht="12.75" customHeight="1">
      <c r="A334" s="91"/>
      <c r="B334" s="109"/>
      <c r="C334" s="111"/>
      <c r="D334" s="111"/>
      <c r="E334" s="111"/>
      <c r="F334" s="101"/>
      <c r="G334" s="92"/>
    </row>
    <row r="335" ht="12.75" customHeight="1">
      <c r="A335" s="91"/>
      <c r="B335" s="109"/>
      <c r="C335" s="111"/>
      <c r="D335" s="111"/>
      <c r="E335" s="111"/>
      <c r="F335" s="101"/>
      <c r="G335" s="92"/>
    </row>
    <row r="336" ht="12.75" customHeight="1">
      <c r="A336" s="91"/>
      <c r="B336" s="109"/>
      <c r="C336" s="111"/>
      <c r="D336" s="111"/>
      <c r="E336" s="111"/>
      <c r="F336" s="101"/>
      <c r="G336" s="92"/>
    </row>
    <row r="337" ht="12.75" customHeight="1">
      <c r="A337" s="91"/>
      <c r="B337" s="109"/>
      <c r="C337" s="111"/>
      <c r="D337" s="111"/>
      <c r="E337" s="111"/>
      <c r="F337" s="101"/>
      <c r="G337" s="92"/>
    </row>
    <row r="338" ht="12.75" customHeight="1">
      <c r="A338" s="91"/>
      <c r="B338" s="109"/>
      <c r="C338" s="111"/>
      <c r="D338" s="111"/>
      <c r="E338" s="111"/>
      <c r="F338" s="101"/>
      <c r="G338" s="92"/>
    </row>
    <row r="339" ht="12.75" customHeight="1">
      <c r="A339" s="91"/>
      <c r="B339" s="109"/>
      <c r="C339" s="111"/>
      <c r="D339" s="111"/>
      <c r="E339" s="111"/>
      <c r="F339" s="101"/>
      <c r="G339" s="92"/>
    </row>
    <row r="340" ht="12.75" customHeight="1">
      <c r="A340" s="91"/>
      <c r="B340" s="109"/>
      <c r="C340" s="111"/>
      <c r="D340" s="111"/>
      <c r="E340" s="111"/>
      <c r="F340" s="101"/>
      <c r="G340" s="92"/>
    </row>
    <row r="341" ht="12.75" customHeight="1">
      <c r="A341" s="91"/>
      <c r="B341" s="109"/>
      <c r="C341" s="111"/>
      <c r="D341" s="111"/>
      <c r="E341" s="111"/>
      <c r="F341" s="101"/>
      <c r="G341" s="92"/>
    </row>
    <row r="342" ht="12.75" customHeight="1">
      <c r="A342" s="91"/>
      <c r="B342" s="109"/>
      <c r="C342" s="111"/>
      <c r="D342" s="111"/>
      <c r="E342" s="111"/>
      <c r="F342" s="101"/>
      <c r="G342" s="92"/>
    </row>
    <row r="343" ht="12.75" customHeight="1">
      <c r="A343" s="91"/>
      <c r="B343" s="109"/>
      <c r="C343" s="111"/>
      <c r="D343" s="111"/>
      <c r="E343" s="111"/>
      <c r="F343" s="101"/>
      <c r="G343" s="92"/>
    </row>
    <row r="344" ht="12.75" customHeight="1">
      <c r="A344" s="91"/>
      <c r="B344" s="109"/>
      <c r="C344" s="111"/>
      <c r="D344" s="111"/>
      <c r="E344" s="111"/>
      <c r="F344" s="101"/>
      <c r="G344" s="92"/>
    </row>
    <row r="345" ht="12.75" customHeight="1">
      <c r="A345" s="91"/>
      <c r="B345" s="109"/>
      <c r="C345" s="111"/>
      <c r="D345" s="111"/>
      <c r="E345" s="111"/>
      <c r="F345" s="101"/>
      <c r="G345" s="92"/>
    </row>
    <row r="346" ht="12.75" customHeight="1">
      <c r="A346" s="91"/>
      <c r="B346" s="109"/>
      <c r="C346" s="111"/>
      <c r="D346" s="111"/>
      <c r="E346" s="111"/>
      <c r="F346" s="101"/>
      <c r="G346" s="92"/>
    </row>
    <row r="347" ht="12.75" customHeight="1">
      <c r="A347" s="91"/>
      <c r="B347" s="109"/>
      <c r="C347" s="111"/>
      <c r="D347" s="111"/>
      <c r="E347" s="111"/>
      <c r="F347" s="101"/>
      <c r="G347" s="92"/>
    </row>
    <row r="348" ht="12.75" customHeight="1">
      <c r="A348" s="91"/>
      <c r="B348" s="109"/>
      <c r="C348" s="111"/>
      <c r="D348" s="111"/>
      <c r="E348" s="111"/>
      <c r="F348" s="101"/>
      <c r="G348" s="92"/>
    </row>
    <row r="349" ht="12.75" customHeight="1">
      <c r="A349" s="91"/>
      <c r="B349" s="109"/>
      <c r="C349" s="111"/>
      <c r="D349" s="111"/>
      <c r="E349" s="111"/>
      <c r="F349" s="101"/>
      <c r="G349" s="92"/>
    </row>
    <row r="350" ht="12.75" customHeight="1">
      <c r="A350" s="91"/>
      <c r="B350" s="109"/>
      <c r="C350" s="111"/>
      <c r="D350" s="111"/>
      <c r="E350" s="111"/>
      <c r="F350" s="101"/>
      <c r="G350" s="92"/>
    </row>
    <row r="351" ht="12.75" customHeight="1">
      <c r="A351" s="91"/>
      <c r="B351" s="109"/>
      <c r="C351" s="111"/>
      <c r="D351" s="111"/>
      <c r="E351" s="111"/>
      <c r="F351" s="101"/>
      <c r="G351" s="92"/>
    </row>
    <row r="352" ht="12.75" customHeight="1">
      <c r="A352" s="91"/>
      <c r="B352" s="109"/>
      <c r="C352" s="111"/>
      <c r="D352" s="111"/>
      <c r="E352" s="111"/>
      <c r="F352" s="101"/>
      <c r="G352" s="92"/>
    </row>
    <row r="353" ht="12.75" customHeight="1">
      <c r="A353" s="91"/>
      <c r="B353" s="109"/>
      <c r="C353" s="111"/>
      <c r="D353" s="111"/>
      <c r="E353" s="111"/>
      <c r="F353" s="101"/>
      <c r="G353" s="92"/>
    </row>
    <row r="354" ht="12.75" customHeight="1">
      <c r="A354" s="91"/>
      <c r="B354" s="109"/>
      <c r="C354" s="111"/>
      <c r="D354" s="111"/>
      <c r="E354" s="111"/>
      <c r="F354" s="101"/>
      <c r="G354" s="92"/>
    </row>
    <row r="355" ht="12.75" customHeight="1">
      <c r="A355" s="91"/>
      <c r="B355" s="109"/>
      <c r="C355" s="111"/>
      <c r="D355" s="111"/>
      <c r="E355" s="122"/>
      <c r="F355" s="101"/>
      <c r="G355" s="92"/>
    </row>
    <row r="356" ht="12.75" customHeight="1">
      <c r="A356" s="91"/>
      <c r="B356" s="109"/>
      <c r="C356" s="111"/>
      <c r="D356" s="111"/>
      <c r="E356" s="122"/>
      <c r="F356" s="101"/>
      <c r="G356" s="92"/>
    </row>
    <row r="357" ht="12.75" customHeight="1">
      <c r="A357" s="91"/>
      <c r="B357" s="109"/>
      <c r="C357" s="111"/>
      <c r="D357" s="111"/>
      <c r="E357" s="122"/>
      <c r="F357" s="101"/>
      <c r="G357" s="92"/>
    </row>
    <row r="358" ht="12.75" customHeight="1">
      <c r="A358" s="91"/>
      <c r="B358" s="109"/>
      <c r="C358" s="111"/>
      <c r="D358" s="111"/>
      <c r="E358" s="122"/>
      <c r="F358" s="101"/>
      <c r="G358" s="92"/>
    </row>
    <row r="359" ht="12.75" customHeight="1">
      <c r="A359" s="91"/>
      <c r="B359" s="109"/>
      <c r="C359" s="111"/>
      <c r="D359" s="111"/>
      <c r="E359" s="122"/>
      <c r="F359" s="101"/>
      <c r="G359" s="92"/>
    </row>
    <row r="360" ht="12.75" customHeight="1">
      <c r="A360" s="91"/>
      <c r="B360" s="109"/>
      <c r="C360" s="111"/>
      <c r="D360" s="111"/>
      <c r="E360" s="122"/>
      <c r="F360" s="101"/>
      <c r="G360" s="92"/>
    </row>
    <row r="361" ht="12.75" customHeight="1">
      <c r="A361" s="91"/>
      <c r="B361" s="109"/>
      <c r="C361" s="111"/>
      <c r="D361" s="111"/>
      <c r="E361" s="122"/>
      <c r="F361" s="101"/>
      <c r="G361" s="92"/>
    </row>
    <row r="362" ht="12.75" customHeight="1">
      <c r="A362" s="91"/>
      <c r="B362" s="109"/>
      <c r="C362" s="111"/>
      <c r="D362" s="111"/>
      <c r="E362" s="122"/>
      <c r="F362" s="101"/>
      <c r="G362" s="92"/>
    </row>
    <row r="363" ht="12.75" customHeight="1">
      <c r="A363" s="91"/>
      <c r="B363" s="109"/>
      <c r="C363" s="111"/>
      <c r="D363" s="111"/>
      <c r="E363" s="122"/>
      <c r="F363" s="101"/>
      <c r="G363" s="92"/>
    </row>
    <row r="364" ht="12.75" customHeight="1">
      <c r="A364" s="91"/>
      <c r="B364" s="109"/>
      <c r="C364" s="111"/>
      <c r="D364" s="111"/>
      <c r="E364" s="122"/>
      <c r="F364" s="101"/>
      <c r="G364" s="92"/>
    </row>
    <row r="365" ht="12.75" customHeight="1">
      <c r="A365" s="91"/>
      <c r="B365" s="109"/>
      <c r="C365" s="111"/>
      <c r="D365" s="111"/>
      <c r="E365" s="111"/>
      <c r="F365" s="101"/>
      <c r="G365" s="92"/>
    </row>
    <row r="366" ht="12.75" customHeight="1">
      <c r="A366" s="91"/>
      <c r="B366" s="109"/>
      <c r="C366" s="111"/>
      <c r="D366" s="111"/>
      <c r="E366" s="111"/>
      <c r="F366" s="101"/>
      <c r="G366" s="92"/>
    </row>
    <row r="367" ht="12.75" customHeight="1">
      <c r="A367" s="91"/>
      <c r="B367" s="109"/>
      <c r="C367" s="111"/>
      <c r="D367" s="111"/>
      <c r="E367" s="111"/>
      <c r="F367" s="101"/>
      <c r="G367" s="92"/>
    </row>
    <row r="368" ht="12.75" customHeight="1">
      <c r="A368" s="91"/>
      <c r="B368" s="109"/>
      <c r="C368" s="111"/>
      <c r="D368" s="111"/>
      <c r="E368" s="111"/>
      <c r="F368" s="101"/>
      <c r="G368" s="92"/>
    </row>
    <row r="369" ht="12.75" customHeight="1">
      <c r="A369" s="91"/>
      <c r="B369" s="109"/>
      <c r="C369" s="111"/>
      <c r="D369" s="111"/>
      <c r="E369" s="111"/>
      <c r="F369" s="101"/>
      <c r="G369" s="92"/>
    </row>
    <row r="370" ht="12.75" customHeight="1">
      <c r="A370" s="91"/>
      <c r="B370" s="109"/>
      <c r="C370" s="111"/>
      <c r="D370" s="111"/>
      <c r="E370" s="111"/>
      <c r="F370" s="101"/>
      <c r="G370" s="92"/>
    </row>
    <row r="371" ht="12.75" customHeight="1">
      <c r="A371" s="91"/>
      <c r="B371" s="109"/>
      <c r="C371" s="111"/>
      <c r="D371" s="111"/>
      <c r="E371" s="111"/>
      <c r="F371" s="101"/>
      <c r="G371" s="92"/>
    </row>
    <row r="372" ht="12.75" customHeight="1">
      <c r="A372" s="91"/>
      <c r="B372" s="109"/>
      <c r="C372" s="111"/>
      <c r="D372" s="111"/>
      <c r="E372" s="111"/>
      <c r="F372" s="101"/>
      <c r="G372" s="92"/>
    </row>
    <row r="373" ht="12.75" customHeight="1">
      <c r="A373" s="91"/>
      <c r="B373" s="109"/>
      <c r="C373" s="111"/>
      <c r="D373" s="111"/>
      <c r="E373" s="111"/>
      <c r="F373" s="101"/>
      <c r="G373" s="92"/>
    </row>
    <row r="374" ht="12.75" customHeight="1">
      <c r="A374" s="91"/>
      <c r="B374" s="109"/>
      <c r="C374" s="111"/>
      <c r="D374" s="111"/>
      <c r="E374" s="111"/>
      <c r="F374" s="101"/>
      <c r="G374" s="92"/>
    </row>
    <row r="375" ht="12.75" customHeight="1">
      <c r="A375" s="91"/>
      <c r="B375" s="109"/>
      <c r="C375" s="111"/>
      <c r="D375" s="111"/>
      <c r="E375" s="111"/>
      <c r="F375" s="101"/>
      <c r="G375" s="92"/>
    </row>
    <row r="376" ht="12.75" customHeight="1">
      <c r="A376" s="91"/>
      <c r="B376" s="109"/>
      <c r="C376" s="111"/>
      <c r="D376" s="111"/>
      <c r="E376" s="111"/>
      <c r="F376" s="101"/>
      <c r="G376" s="92"/>
    </row>
    <row r="377" ht="12.75" customHeight="1">
      <c r="A377" s="91"/>
      <c r="B377" s="109"/>
      <c r="C377" s="111"/>
      <c r="D377" s="111"/>
      <c r="E377" s="111"/>
      <c r="F377" s="101"/>
      <c r="G377" s="92"/>
    </row>
    <row r="378" ht="12.75" customHeight="1">
      <c r="A378" s="91"/>
      <c r="B378" s="109"/>
      <c r="C378" s="111"/>
      <c r="D378" s="111"/>
      <c r="E378" s="111"/>
      <c r="F378" s="101"/>
      <c r="G378" s="92"/>
    </row>
    <row r="379" ht="12.75" customHeight="1">
      <c r="A379" s="91"/>
      <c r="B379" s="109"/>
      <c r="C379" s="111"/>
      <c r="D379" s="111"/>
      <c r="E379" s="111"/>
      <c r="F379" s="101"/>
      <c r="G379" s="92"/>
    </row>
    <row r="380" ht="12.75" customHeight="1">
      <c r="A380" s="91"/>
      <c r="B380" s="109"/>
      <c r="C380" s="111"/>
      <c r="D380" s="111"/>
      <c r="E380" s="111"/>
      <c r="F380" s="101"/>
      <c r="G380" s="92"/>
    </row>
    <row r="381" ht="12.75" customHeight="1">
      <c r="A381" s="91"/>
      <c r="B381" s="109"/>
      <c r="C381" s="111"/>
      <c r="D381" s="111"/>
      <c r="E381" s="111"/>
      <c r="F381" s="101"/>
      <c r="G381" s="92"/>
    </row>
    <row r="382" ht="12.75" customHeight="1">
      <c r="A382" s="91"/>
      <c r="B382" s="109"/>
      <c r="C382" s="111"/>
      <c r="D382" s="111"/>
      <c r="E382" s="111"/>
      <c r="F382" s="101"/>
      <c r="G382" s="92"/>
    </row>
    <row r="383" ht="12.75" customHeight="1">
      <c r="A383" s="91"/>
      <c r="B383" s="109"/>
      <c r="C383" s="111"/>
      <c r="D383" s="111"/>
      <c r="E383" s="111"/>
      <c r="F383" s="101"/>
      <c r="G383" s="92"/>
    </row>
    <row r="384" ht="12.75" customHeight="1">
      <c r="A384" s="91"/>
      <c r="B384" s="109"/>
      <c r="C384" s="111"/>
      <c r="D384" s="111"/>
      <c r="E384" s="111"/>
      <c r="F384" s="101"/>
      <c r="G384" s="92"/>
    </row>
    <row r="385" ht="12.75" customHeight="1">
      <c r="A385" s="91"/>
      <c r="B385" s="73"/>
      <c r="C385" s="111"/>
      <c r="D385" s="111"/>
      <c r="E385" s="111"/>
      <c r="F385" s="101"/>
      <c r="G385" s="92"/>
    </row>
    <row r="386" ht="12.75" customHeight="1">
      <c r="A386" s="91"/>
      <c r="B386" s="73"/>
      <c r="C386" s="111"/>
      <c r="D386" s="111"/>
      <c r="E386" s="111"/>
      <c r="F386" s="101"/>
      <c r="G386" s="92"/>
    </row>
    <row r="387" ht="12.75" customHeight="1">
      <c r="A387" s="91"/>
      <c r="B387" s="109"/>
      <c r="C387" s="122"/>
      <c r="D387" s="122"/>
      <c r="E387" s="122"/>
      <c r="F387" s="101"/>
      <c r="G387" s="92"/>
    </row>
    <row r="388" ht="12.75" customHeight="1">
      <c r="A388" s="91"/>
      <c r="B388" s="109"/>
      <c r="C388" s="122"/>
      <c r="D388" s="122"/>
      <c r="E388" s="122"/>
      <c r="F388" s="101"/>
      <c r="G388" s="92"/>
    </row>
    <row r="389" ht="12.75" customHeight="1">
      <c r="A389" s="91"/>
      <c r="B389" s="109"/>
      <c r="C389" s="122"/>
      <c r="D389" s="122"/>
      <c r="E389" s="122"/>
      <c r="F389" s="101"/>
      <c r="G389" s="92"/>
    </row>
    <row r="390" ht="12.75" customHeight="1">
      <c r="A390" s="91"/>
      <c r="B390" s="109"/>
      <c r="C390" s="122"/>
      <c r="D390" s="122"/>
      <c r="E390" s="122"/>
      <c r="F390" s="101"/>
      <c r="G390" s="92"/>
    </row>
    <row r="391" ht="12.75" customHeight="1">
      <c r="A391" s="91"/>
      <c r="B391" s="109"/>
      <c r="C391" s="122"/>
      <c r="D391" s="122"/>
      <c r="E391" s="122"/>
      <c r="F391" s="101"/>
      <c r="G391" s="92"/>
    </row>
    <row r="392" ht="12.75" customHeight="1">
      <c r="A392" s="91"/>
      <c r="B392" s="109"/>
      <c r="C392" s="122"/>
      <c r="D392" s="122"/>
      <c r="E392" s="122"/>
      <c r="F392" s="101"/>
      <c r="G392" s="92"/>
    </row>
    <row r="393" ht="12.75" customHeight="1">
      <c r="A393" s="91"/>
      <c r="B393" s="109"/>
      <c r="C393" s="122"/>
      <c r="D393" s="122"/>
      <c r="E393" s="122"/>
      <c r="F393" s="101"/>
      <c r="G393" s="92"/>
    </row>
    <row r="394" ht="12.75" customHeight="1">
      <c r="A394" s="91"/>
      <c r="B394" s="109"/>
      <c r="C394" s="122"/>
      <c r="D394" s="122"/>
      <c r="E394" s="122"/>
      <c r="F394" s="101"/>
      <c r="G394" s="92"/>
    </row>
    <row r="395" ht="12.75" customHeight="1">
      <c r="A395" s="91"/>
      <c r="B395" s="109"/>
      <c r="C395" s="122"/>
      <c r="D395" s="122"/>
      <c r="E395" s="122"/>
      <c r="F395" s="101"/>
      <c r="G395" s="92"/>
    </row>
    <row r="396" ht="12.75" customHeight="1">
      <c r="A396" s="91"/>
      <c r="B396" s="109"/>
      <c r="C396" s="122"/>
      <c r="D396" s="122"/>
      <c r="E396" s="122"/>
      <c r="F396" s="101"/>
      <c r="G396" s="92"/>
    </row>
    <row r="397" ht="12.75" customHeight="1">
      <c r="A397" s="91"/>
      <c r="B397" s="109"/>
      <c r="C397" s="122"/>
      <c r="D397" s="122"/>
      <c r="E397" s="122"/>
      <c r="F397" s="101"/>
      <c r="G397" s="92"/>
    </row>
    <row r="398" ht="12.75" customHeight="1">
      <c r="A398" s="91"/>
      <c r="B398" s="109"/>
      <c r="C398" s="122"/>
      <c r="D398" s="122"/>
      <c r="E398" s="122"/>
      <c r="F398" s="101"/>
      <c r="G398" s="92"/>
    </row>
    <row r="399" ht="12.75" customHeight="1">
      <c r="A399" s="91"/>
      <c r="B399" s="109"/>
      <c r="C399" s="122"/>
      <c r="D399" s="122"/>
      <c r="E399" s="122"/>
      <c r="F399" s="101"/>
      <c r="G399" s="92"/>
    </row>
    <row r="400" ht="12.75" customHeight="1">
      <c r="A400" s="91"/>
      <c r="B400" s="109"/>
      <c r="C400" s="73"/>
      <c r="D400" s="73"/>
      <c r="E400" s="73"/>
      <c r="F400" s="101"/>
      <c r="G400" s="92"/>
    </row>
    <row r="401" ht="12.75" customHeight="1">
      <c r="A401" s="91"/>
      <c r="B401" s="109"/>
      <c r="C401" s="73"/>
      <c r="D401" s="73"/>
      <c r="E401" s="73"/>
      <c r="F401" s="101"/>
      <c r="G401" s="92"/>
    </row>
    <row r="402" ht="12.75" customHeight="1">
      <c r="A402" s="123"/>
      <c r="B402" s="123"/>
      <c r="C402" s="123"/>
      <c r="D402" s="123"/>
      <c r="E402" s="123"/>
      <c r="F402" s="123"/>
      <c r="G402" s="123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</row>
    <row r="403" ht="12.75" customHeight="1">
      <c r="A403" s="123"/>
      <c r="B403" s="123"/>
      <c r="C403" s="123"/>
      <c r="D403" s="123"/>
      <c r="E403" s="123"/>
      <c r="F403" s="123"/>
      <c r="G403" s="123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</row>
    <row r="404" ht="12.75" customHeight="1">
      <c r="A404" s="123"/>
      <c r="B404" s="123"/>
      <c r="C404" s="123"/>
      <c r="D404" s="123"/>
      <c r="E404" s="123"/>
      <c r="F404" s="123"/>
      <c r="G404" s="123"/>
      <c r="H404" s="124"/>
      <c r="I404" s="124"/>
      <c r="J404" s="125"/>
      <c r="K404" s="124"/>
      <c r="L404" s="124"/>
      <c r="M404" s="124"/>
      <c r="N404" s="124"/>
      <c r="O404" s="124"/>
      <c r="P404" s="124"/>
      <c r="Q404" s="124"/>
      <c r="R404" s="124"/>
      <c r="S404" s="124"/>
    </row>
    <row r="405" ht="12.75" customHeight="1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</row>
    <row r="406" ht="12.75" customHeight="1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</row>
    <row r="407" ht="12.75" customHeight="1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</row>
    <row r="408" ht="12.75" customHeight="1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</row>
    <row r="409" ht="12.75" customHeight="1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</row>
    <row r="410" ht="12.75" customHeight="1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</row>
    <row r="411" ht="12.75" customHeight="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</row>
    <row r="412" ht="12.75" customHeight="1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</row>
    <row r="413" ht="12.75" customHeight="1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</row>
    <row r="414" ht="12.75" customHeight="1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</row>
    <row r="415" ht="12.75" customHeight="1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</row>
    <row r="416" ht="12.75" customHeight="1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</row>
    <row r="417" ht="12.75" customHeight="1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</row>
    <row r="418" ht="12.75" customHeight="1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</row>
    <row r="419" ht="12.75" customHeight="1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</row>
    <row r="420" ht="12.75" customHeight="1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</row>
    <row r="421" ht="12.75" customHeight="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</row>
    <row r="422" ht="12.75" customHeight="1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</row>
    <row r="423" ht="12.75" customHeight="1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</row>
    <row r="424" ht="12.75" customHeight="1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</row>
    <row r="425" ht="12.75" customHeight="1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</row>
    <row r="426" ht="12.75" customHeight="1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</row>
    <row r="427" ht="12.75" customHeight="1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</row>
    <row r="428" ht="12.75" customHeight="1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</row>
    <row r="429" ht="12.75" customHeight="1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</row>
    <row r="430" ht="12.75" customHeight="1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</row>
    <row r="431" ht="12.75" customHeight="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</row>
    <row r="432" ht="12.75" customHeight="1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</row>
    <row r="433" ht="12.75" customHeight="1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</row>
    <row r="434" ht="12.75" customHeight="1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</row>
    <row r="435" ht="12.75" customHeight="1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</row>
    <row r="436" ht="12.75" customHeight="1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</row>
    <row r="437" ht="12.75" customHeight="1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</row>
    <row r="438" ht="12.75" customHeight="1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</row>
    <row r="439" ht="12.75" customHeight="1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</row>
    <row r="440" ht="12.75" customHeight="1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</row>
    <row r="441" ht="12.75" customHeight="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</row>
    <row r="442" ht="12.75" customHeight="1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</row>
    <row r="443" ht="12.75" customHeight="1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</row>
    <row r="444" ht="12.75" customHeight="1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</row>
    <row r="445" ht="12.75" customHeight="1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</row>
    <row r="446" ht="12.75" customHeight="1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</row>
    <row r="447" ht="12.75" customHeight="1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</row>
    <row r="448" ht="12.75" customHeight="1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</row>
    <row r="449" ht="12.75" customHeight="1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</row>
    <row r="450" ht="12.75" customHeight="1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</row>
    <row r="451" ht="12.75" customHeight="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</row>
    <row r="452" ht="12.75" customHeight="1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</row>
    <row r="453" ht="12.75" customHeight="1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</row>
    <row r="454" ht="12.75" customHeight="1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</row>
    <row r="455" ht="12.75" customHeight="1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</row>
    <row r="456" ht="12.75" customHeight="1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</row>
    <row r="457" ht="12.75" customHeight="1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</row>
    <row r="458" ht="12.75" customHeight="1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</row>
    <row r="459" ht="12.75" customHeight="1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</row>
    <row r="460" ht="12.75" customHeight="1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</row>
    <row r="461" ht="12.75" customHeight="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</row>
    <row r="462" ht="12.75" customHeight="1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</row>
    <row r="463" ht="12.75" customHeight="1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</row>
    <row r="464" ht="12.75" customHeight="1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</row>
    <row r="465" ht="12.75" customHeight="1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</row>
    <row r="466" ht="12.75" customHeight="1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</row>
    <row r="467" ht="12.75" customHeight="1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</row>
    <row r="468" ht="12.75" customHeight="1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</row>
    <row r="469" ht="12.75" customHeight="1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</row>
    <row r="470" ht="12.75" customHeight="1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</row>
    <row r="471" ht="12.75" customHeight="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</row>
    <row r="472" ht="12.75" customHeight="1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</row>
    <row r="473" ht="12.75" customHeight="1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</row>
    <row r="474" ht="12.75" customHeight="1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</row>
    <row r="475" ht="12.75" customHeight="1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</row>
    <row r="476" ht="12.75" customHeight="1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</row>
    <row r="477" ht="12.75" customHeight="1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</row>
    <row r="478" ht="12.75" customHeight="1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</row>
    <row r="479" ht="12.75" customHeight="1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</row>
    <row r="480" ht="12.75" customHeight="1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</row>
    <row r="481" ht="12.75" customHeight="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</row>
    <row r="482" ht="12.75" customHeight="1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</row>
    <row r="483" ht="12.75" customHeight="1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</row>
    <row r="484" ht="12.75" customHeight="1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</row>
    <row r="485" ht="12.75" customHeight="1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</row>
    <row r="486" ht="12.75" customHeight="1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</row>
    <row r="487" ht="12.75" customHeight="1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</row>
    <row r="488" ht="12.75" customHeight="1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</row>
    <row r="489" ht="12.75" customHeight="1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</row>
    <row r="490" ht="12.75" customHeight="1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</row>
    <row r="491" ht="12.75" customHeight="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</row>
    <row r="492" ht="12.75" customHeight="1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</row>
    <row r="493" ht="12.75" customHeight="1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</row>
    <row r="494" ht="12.75" customHeight="1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</row>
    <row r="495" ht="12.75" customHeight="1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</row>
    <row r="496" ht="12.75" customHeight="1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</row>
    <row r="497" ht="12.75" customHeight="1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</row>
    <row r="498" ht="12.75" customHeight="1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</row>
    <row r="499" ht="12.75" customHeight="1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</row>
    <row r="500" ht="12.75" customHeight="1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</row>
    <row r="501" ht="12.75" customHeight="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</row>
    <row r="502" ht="12.75" customHeight="1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</row>
    <row r="503" ht="12.75" customHeight="1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</row>
    <row r="504" ht="12.75" customHeight="1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</row>
    <row r="505" ht="12.75" customHeight="1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</row>
    <row r="506" ht="12.75" customHeight="1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</row>
    <row r="507" ht="12.75" customHeight="1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</row>
    <row r="508" ht="12.75" customHeight="1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</row>
    <row r="509" ht="12.75" customHeight="1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</row>
    <row r="510" ht="12.75" customHeight="1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</row>
    <row r="511" ht="12.75" customHeight="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</row>
    <row r="512" ht="12.75" customHeight="1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</row>
    <row r="513" ht="12.75" customHeight="1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</row>
    <row r="514" ht="12.75" customHeight="1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</row>
    <row r="515" ht="12.75" customHeight="1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</row>
    <row r="516" ht="12.75" customHeight="1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</row>
    <row r="517" ht="12.75" customHeight="1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</row>
    <row r="518" ht="12.75" customHeight="1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</row>
    <row r="519" ht="12.75" customHeight="1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</row>
    <row r="520" ht="12.75" customHeight="1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</row>
    <row r="521" ht="12.75" customHeight="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</row>
    <row r="522" ht="12.75" customHeight="1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</row>
    <row r="523" ht="12.75" customHeight="1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</row>
    <row r="524" ht="12.75" customHeight="1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</row>
    <row r="525" ht="12.75" customHeight="1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</row>
    <row r="526" ht="12.75" customHeight="1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</row>
    <row r="527" ht="12.75" customHeight="1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</row>
    <row r="528" ht="12.75" customHeight="1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</row>
    <row r="529" ht="12.75" customHeight="1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</row>
    <row r="530" ht="12.75" customHeight="1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</row>
    <row r="531" ht="12.75" customHeight="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</row>
    <row r="532" ht="12.75" customHeight="1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</row>
    <row r="533" ht="12.75" customHeight="1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</row>
    <row r="534" ht="12.75" customHeight="1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</row>
    <row r="535" ht="12.75" customHeight="1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</row>
    <row r="536" ht="12.75" customHeight="1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</row>
    <row r="537" ht="12.75" customHeight="1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</row>
    <row r="538" ht="12.75" customHeight="1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</row>
    <row r="539" ht="12.75" customHeight="1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</row>
    <row r="540" ht="12.75" customHeight="1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</row>
    <row r="541" ht="12.75" customHeight="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</row>
    <row r="542" ht="12.75" customHeight="1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</row>
    <row r="543" ht="12.75" customHeight="1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</row>
    <row r="544" ht="12.75" customHeight="1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</row>
    <row r="545" ht="12.75" customHeight="1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</row>
    <row r="546" ht="12.75" customHeight="1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</row>
    <row r="547" ht="12.75" customHeight="1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</row>
    <row r="548" ht="12.75" customHeight="1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</row>
    <row r="549" ht="12.75" customHeight="1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</row>
    <row r="550" ht="12.75" customHeight="1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</row>
    <row r="551" ht="12.75" customHeight="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</row>
    <row r="552" ht="12.75" customHeight="1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</row>
    <row r="553" ht="12.75" customHeight="1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</row>
    <row r="554" ht="12.75" customHeight="1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</row>
    <row r="555" ht="12.75" customHeight="1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</row>
    <row r="556" ht="12.75" customHeight="1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</row>
    <row r="557" ht="12.75" customHeight="1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</row>
    <row r="558" ht="12.75" customHeight="1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</row>
    <row r="559" ht="12.75" customHeight="1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</row>
    <row r="560" ht="12.75" customHeight="1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</row>
    <row r="561" ht="12.75" customHeight="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</row>
    <row r="562" ht="12.75" customHeight="1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</row>
    <row r="563" ht="12.75" customHeight="1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</row>
    <row r="564" ht="12.75" customHeight="1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</row>
    <row r="565" ht="12.75" customHeight="1">
      <c r="A565" s="126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</row>
    <row r="566" ht="12.75" customHeight="1">
      <c r="A566" s="126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</row>
    <row r="567" ht="12.75" customHeight="1">
      <c r="A567" s="126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</row>
    <row r="568" ht="12.75" customHeight="1">
      <c r="A568" s="126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</row>
    <row r="569" ht="12.75" customHeight="1">
      <c r="A569" s="126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</row>
    <row r="570" ht="12.75" customHeight="1">
      <c r="A570" s="126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</row>
    <row r="571" ht="12.75" customHeight="1">
      <c r="A571" s="126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</row>
    <row r="572" ht="12.75" customHeight="1">
      <c r="A572" s="126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</row>
    <row r="573" ht="12.75" customHeight="1">
      <c r="A573" s="126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</row>
    <row r="574" ht="12.75" customHeight="1">
      <c r="A574" s="126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</row>
    <row r="575" ht="12.75" customHeight="1">
      <c r="A575" s="126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</row>
    <row r="576" ht="12.75" customHeight="1">
      <c r="A576" s="126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</row>
    <row r="577" ht="12.75" customHeight="1">
      <c r="A577" s="126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</row>
    <row r="578" ht="12.75" customHeight="1">
      <c r="A578" s="126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</row>
    <row r="579" ht="12.75" customHeight="1">
      <c r="A579" s="126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</row>
    <row r="580" ht="12.75" customHeight="1">
      <c r="A580" s="126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</row>
    <row r="581" ht="12.75" customHeight="1">
      <c r="A581" s="126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</row>
    <row r="582" ht="12.75" customHeight="1">
      <c r="A582" s="126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</row>
    <row r="583" ht="12.75" customHeight="1">
      <c r="A583" s="126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</row>
    <row r="584" ht="12.75" customHeight="1">
      <c r="A584" s="126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</row>
    <row r="585" ht="12.75" customHeight="1">
      <c r="A585" s="126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</row>
    <row r="586" ht="12.75" customHeight="1">
      <c r="A586" s="126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</row>
    <row r="587" ht="12.75" customHeight="1">
      <c r="A587" s="126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</row>
    <row r="588" ht="12.75" customHeight="1">
      <c r="A588" s="126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</row>
    <row r="589" ht="12.75" customHeight="1">
      <c r="A589" s="126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</row>
    <row r="590" ht="12.75" customHeight="1">
      <c r="A590" s="126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</row>
    <row r="591" ht="12.75" customHeight="1">
      <c r="A591" s="126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</row>
    <row r="592" ht="12.75" customHeight="1">
      <c r="A592" s="126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</row>
    <row r="593" ht="12.75" customHeight="1">
      <c r="A593" s="126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</row>
    <row r="594" ht="12.75" customHeight="1">
      <c r="A594" s="126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</row>
    <row r="595" ht="12.75" customHeight="1">
      <c r="A595" s="126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</row>
    <row r="596" ht="12.75" customHeight="1">
      <c r="A596" s="126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</row>
    <row r="597" ht="12.75" customHeight="1">
      <c r="A597" s="126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</row>
    <row r="598" ht="12.75" customHeight="1">
      <c r="A598" s="126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</row>
    <row r="599" ht="12.75" customHeight="1">
      <c r="A599" s="126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</row>
    <row r="600" ht="12.75" customHeight="1">
      <c r="A600" s="126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</row>
    <row r="601" ht="12.75" customHeight="1">
      <c r="A601" s="126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</row>
    <row r="602" ht="12.75" customHeight="1">
      <c r="A602" s="126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</row>
    <row r="603" ht="12.75" customHeight="1">
      <c r="A603" s="126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</row>
    <row r="604" ht="12.75" customHeight="1">
      <c r="A604" s="126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</row>
    <row r="605" ht="12.75" customHeight="1">
      <c r="A605" s="126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</row>
    <row r="606" ht="12.75" customHeight="1">
      <c r="A606" s="126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</row>
    <row r="607" ht="12.75" customHeight="1">
      <c r="A607" s="126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</row>
    <row r="608" ht="12.75" customHeight="1">
      <c r="A608" s="126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</row>
    <row r="609" ht="12.75" customHeight="1">
      <c r="A609" s="126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</row>
    <row r="610" ht="12.75" customHeight="1">
      <c r="A610" s="126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</row>
    <row r="611" ht="12.75" customHeight="1">
      <c r="A611" s="126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</row>
    <row r="612" ht="12.75" customHeight="1">
      <c r="A612" s="126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</row>
    <row r="613" ht="12.75" customHeight="1">
      <c r="A613" s="126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</row>
    <row r="614" ht="12.75" customHeight="1">
      <c r="A614" s="126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</row>
    <row r="615" ht="12.75" customHeight="1">
      <c r="A615" s="126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</row>
    <row r="616" ht="12.75" customHeight="1">
      <c r="A616" s="126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</row>
    <row r="617" ht="12.75" customHeight="1">
      <c r="A617" s="126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</row>
    <row r="618" ht="12.75" customHeight="1">
      <c r="A618" s="126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</row>
    <row r="619" ht="12.75" customHeight="1">
      <c r="A619" s="126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</row>
    <row r="620" ht="12.75" customHeight="1">
      <c r="A620" s="126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</row>
    <row r="621" ht="12.75" customHeight="1">
      <c r="A621" s="126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</row>
    <row r="622" ht="12.75" customHeight="1">
      <c r="A622" s="126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</row>
    <row r="623" ht="12.75" customHeight="1">
      <c r="A623" s="126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</row>
    <row r="624" ht="12.75" customHeight="1">
      <c r="A624" s="126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</row>
    <row r="625" ht="12.75" customHeight="1">
      <c r="A625" s="126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</row>
    <row r="626" ht="12.75" customHeight="1">
      <c r="A626" s="126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</row>
    <row r="627" ht="12.75" customHeight="1">
      <c r="A627" s="126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</row>
    <row r="628" ht="12.75" customHeight="1">
      <c r="A628" s="126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</row>
    <row r="629" ht="12.75" customHeight="1">
      <c r="A629" s="126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</row>
    <row r="630" ht="12.75" customHeight="1">
      <c r="A630" s="126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</row>
    <row r="631" ht="12.75" customHeight="1">
      <c r="A631" s="126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</row>
    <row r="632" ht="12.75" customHeight="1">
      <c r="A632" s="126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</row>
    <row r="633" ht="12.75" customHeight="1">
      <c r="A633" s="126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</row>
    <row r="634" ht="12.75" customHeight="1">
      <c r="A634" s="126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</row>
    <row r="635" ht="12.75" customHeight="1">
      <c r="A635" s="126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</row>
    <row r="636" ht="12.75" customHeight="1">
      <c r="A636" s="126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</row>
    <row r="637" ht="12.75" customHeight="1">
      <c r="A637" s="126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</row>
    <row r="638" ht="12.75" customHeight="1">
      <c r="A638" s="126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</row>
    <row r="639" ht="12.75" customHeight="1">
      <c r="A639" s="126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</row>
    <row r="640" ht="12.75" customHeight="1">
      <c r="A640" s="126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</row>
    <row r="641" ht="12.75" customHeight="1">
      <c r="A641" s="126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</row>
    <row r="642" ht="12.75" customHeight="1">
      <c r="A642" s="126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</row>
    <row r="643" ht="12.75" customHeight="1">
      <c r="A643" s="126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</row>
    <row r="644" ht="12.75" customHeight="1">
      <c r="A644" s="126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</row>
    <row r="645" ht="12.75" customHeight="1">
      <c r="A645" s="126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</row>
    <row r="646" ht="12.75" customHeight="1">
      <c r="A646" s="126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</row>
    <row r="647" ht="12.75" customHeight="1">
      <c r="A647" s="126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</row>
    <row r="648" ht="12.75" customHeight="1">
      <c r="A648" s="126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</row>
    <row r="649" ht="12.75" customHeight="1">
      <c r="A649" s="126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</row>
    <row r="650" ht="12.75" customHeight="1">
      <c r="A650" s="126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</row>
    <row r="651" ht="12.75" customHeight="1">
      <c r="A651" s="126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</row>
    <row r="652" ht="12.75" customHeight="1">
      <c r="A652" s="126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</row>
    <row r="653" ht="12.75" customHeight="1">
      <c r="A653" s="126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</row>
    <row r="654" ht="12.75" customHeight="1">
      <c r="A654" s="126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</row>
    <row r="655" ht="12.75" customHeight="1">
      <c r="A655" s="126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</row>
    <row r="656" ht="12.75" customHeight="1">
      <c r="A656" s="126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</row>
    <row r="657" ht="12.75" customHeight="1">
      <c r="A657" s="126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</row>
    <row r="658" ht="12.75" customHeight="1">
      <c r="A658" s="126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</row>
    <row r="659" ht="12.75" customHeight="1">
      <c r="A659" s="126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</row>
    <row r="660" ht="12.75" customHeight="1">
      <c r="A660" s="126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</row>
    <row r="661" ht="12.75" customHeight="1">
      <c r="A661" s="126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</row>
    <row r="662" ht="12.75" customHeight="1">
      <c r="A662" s="126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</row>
    <row r="663" ht="12.75" customHeight="1">
      <c r="A663" s="126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</row>
    <row r="664" ht="12.75" customHeight="1">
      <c r="A664" s="126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</row>
    <row r="665" ht="12.75" customHeight="1">
      <c r="A665" s="126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</row>
    <row r="666" ht="12.75" customHeight="1">
      <c r="A666" s="126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</row>
    <row r="667" ht="12.75" customHeight="1">
      <c r="A667" s="126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</row>
    <row r="668" ht="12.75" customHeight="1">
      <c r="A668" s="126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</row>
    <row r="669" ht="12.75" customHeight="1">
      <c r="A669" s="126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</row>
    <row r="670" ht="12.75" customHeight="1">
      <c r="A670" s="126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</row>
    <row r="671" ht="12.75" customHeight="1">
      <c r="A671" s="126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</row>
    <row r="672" ht="12.75" customHeight="1">
      <c r="A672" s="126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</row>
    <row r="673" ht="12.75" customHeight="1">
      <c r="A673" s="126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</row>
    <row r="674" ht="12.75" customHeight="1">
      <c r="A674" s="126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</row>
    <row r="675" ht="12.75" customHeight="1">
      <c r="A675" s="126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</row>
    <row r="676" ht="12.75" customHeight="1">
      <c r="A676" s="126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</row>
    <row r="677" ht="12.75" customHeight="1">
      <c r="A677" s="126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</row>
    <row r="678" ht="12.75" customHeight="1">
      <c r="A678" s="126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</row>
    <row r="679" ht="12.75" customHeight="1">
      <c r="A679" s="126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</row>
    <row r="680" ht="12.75" customHeight="1">
      <c r="A680" s="126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</row>
    <row r="681" ht="12.75" customHeight="1">
      <c r="A681" s="126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</row>
    <row r="682" ht="12.75" customHeight="1">
      <c r="A682" s="126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</row>
    <row r="683" ht="12.75" customHeight="1">
      <c r="A683" s="126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</row>
    <row r="684" ht="12.75" customHeight="1">
      <c r="A684" s="126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</row>
    <row r="685" ht="12.75" customHeight="1">
      <c r="A685" s="126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</row>
    <row r="686" ht="12.75" customHeight="1">
      <c r="A686" s="126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</row>
    <row r="687" ht="12.75" customHeight="1">
      <c r="A687" s="126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</row>
    <row r="688" ht="12.75" customHeight="1">
      <c r="A688" s="126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</row>
    <row r="689" ht="12.75" customHeight="1">
      <c r="A689" s="126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</row>
    <row r="690" ht="12.75" customHeight="1">
      <c r="A690" s="126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</row>
    <row r="691" ht="12.75" customHeight="1">
      <c r="A691" s="126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</row>
    <row r="692" ht="12.75" customHeight="1">
      <c r="A692" s="126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</row>
    <row r="693" ht="12.75" customHeight="1">
      <c r="A693" s="126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</row>
    <row r="694" ht="12.75" customHeight="1">
      <c r="A694" s="126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</row>
    <row r="695" ht="12.75" customHeight="1">
      <c r="A695" s="126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</row>
    <row r="696" ht="12.75" customHeight="1">
      <c r="A696" s="126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</row>
    <row r="697" ht="12.75" customHeight="1">
      <c r="A697" s="126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</row>
    <row r="698" ht="12.75" customHeight="1">
      <c r="A698" s="126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</row>
    <row r="699" ht="12.75" customHeight="1">
      <c r="A699" s="126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</row>
    <row r="700" ht="12.75" customHeight="1">
      <c r="A700" s="126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</row>
    <row r="701" ht="12.75" customHeight="1">
      <c r="A701" s="126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</row>
    <row r="702" ht="12.75" customHeight="1">
      <c r="A702" s="126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</row>
    <row r="703" ht="12.75" customHeight="1">
      <c r="A703" s="126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</row>
    <row r="704" ht="12.75" customHeight="1">
      <c r="A704" s="126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</row>
    <row r="705" ht="12.75" customHeight="1">
      <c r="A705" s="126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</row>
    <row r="706" ht="12.75" customHeight="1">
      <c r="A706" s="126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</row>
    <row r="707" ht="12.75" customHeight="1">
      <c r="A707" s="126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</row>
    <row r="708" ht="12.75" customHeight="1">
      <c r="A708" s="126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</row>
    <row r="709" ht="12.75" customHeight="1">
      <c r="A709" s="126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</row>
    <row r="710" ht="12.75" customHeight="1">
      <c r="A710" s="126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</row>
    <row r="711" ht="12.75" customHeight="1">
      <c r="A711" s="126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</row>
    <row r="712" ht="12.75" customHeight="1">
      <c r="A712" s="126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</row>
    <row r="713" ht="12.75" customHeight="1">
      <c r="A713" s="126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</row>
    <row r="714" ht="12.75" customHeight="1">
      <c r="A714" s="126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</row>
    <row r="715" ht="12.75" customHeight="1">
      <c r="A715" s="126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</row>
    <row r="716" ht="12.75" customHeight="1">
      <c r="A716" s="126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</row>
    <row r="717" ht="12.75" customHeight="1">
      <c r="A717" s="126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</row>
    <row r="718" ht="12.75" customHeight="1">
      <c r="A718" s="126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</row>
    <row r="719" ht="12.75" customHeight="1">
      <c r="A719" s="126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</row>
    <row r="720" ht="12.75" customHeight="1">
      <c r="A720" s="126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</row>
    <row r="721" ht="12.75" customHeight="1">
      <c r="A721" s="126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</row>
    <row r="722" ht="12.75" customHeight="1">
      <c r="A722" s="126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</row>
    <row r="723" ht="12.75" customHeight="1">
      <c r="A723" s="126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</row>
    <row r="724" ht="12.75" customHeight="1">
      <c r="A724" s="126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</row>
    <row r="725" ht="12.75" customHeight="1">
      <c r="A725" s="126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</row>
    <row r="726" ht="12.75" customHeight="1">
      <c r="A726" s="126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</row>
    <row r="727" ht="12.75" customHeight="1">
      <c r="A727" s="126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</row>
    <row r="728" ht="12.75" customHeight="1">
      <c r="A728" s="126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</row>
    <row r="729" ht="12.75" customHeight="1">
      <c r="A729" s="126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</row>
    <row r="730" ht="12.75" customHeight="1">
      <c r="A730" s="126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</row>
    <row r="731" ht="12.75" customHeight="1">
      <c r="A731" s="126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</row>
    <row r="732" ht="12.75" customHeight="1">
      <c r="A732" s="126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</row>
    <row r="733" ht="12.75" customHeight="1">
      <c r="A733" s="126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</row>
    <row r="734" ht="12.75" customHeight="1">
      <c r="A734" s="126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</row>
    <row r="735" ht="12.75" customHeight="1">
      <c r="A735" s="126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</row>
    <row r="736" ht="12.75" customHeight="1">
      <c r="A736" s="126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</row>
    <row r="737" ht="12.75" customHeight="1">
      <c r="A737" s="126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</row>
    <row r="738" ht="12.75" customHeight="1">
      <c r="A738" s="126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</row>
    <row r="739" ht="12.75" customHeight="1">
      <c r="A739" s="126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</row>
    <row r="740" ht="12.75" customHeight="1">
      <c r="A740" s="126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</row>
    <row r="741" ht="12.75" customHeight="1">
      <c r="A741" s="126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</row>
    <row r="742" ht="12.75" customHeight="1">
      <c r="A742" s="126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</row>
    <row r="743" ht="12.75" customHeight="1">
      <c r="A743" s="126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</row>
    <row r="744" ht="12.75" customHeight="1">
      <c r="A744" s="126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</row>
    <row r="745" ht="12.75" customHeight="1">
      <c r="A745" s="126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</row>
    <row r="746" ht="12.75" customHeight="1">
      <c r="A746" s="126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</row>
    <row r="747" ht="12.75" customHeight="1">
      <c r="A747" s="126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</row>
    <row r="748" ht="12.75" customHeight="1">
      <c r="A748" s="126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</row>
    <row r="749" ht="12.75" customHeight="1">
      <c r="A749" s="126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</row>
    <row r="750" ht="12.75" customHeight="1">
      <c r="A750" s="126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</row>
    <row r="751" ht="12.75" customHeight="1">
      <c r="A751" s="126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</row>
    <row r="752" ht="12.75" customHeight="1">
      <c r="A752" s="126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</row>
    <row r="753" ht="12.75" customHeight="1">
      <c r="A753" s="126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</row>
    <row r="754" ht="12.75" customHeight="1">
      <c r="A754" s="126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</row>
    <row r="755" ht="12.75" customHeight="1">
      <c r="A755" s="126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</row>
    <row r="756" ht="12.75" customHeight="1">
      <c r="A756" s="126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</row>
    <row r="757" ht="12.75" customHeight="1">
      <c r="A757" s="126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</row>
    <row r="758" ht="12.75" customHeight="1">
      <c r="A758" s="126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</row>
    <row r="759" ht="12.75" customHeight="1">
      <c r="A759" s="126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</row>
    <row r="760" ht="12.75" customHeight="1">
      <c r="A760" s="126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</row>
    <row r="761" ht="12.75" customHeight="1">
      <c r="A761" s="126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</row>
    <row r="762" ht="12.75" customHeight="1">
      <c r="A762" s="126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</row>
    <row r="763" ht="12.75" customHeight="1">
      <c r="A763" s="126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</row>
    <row r="764" ht="12.75" customHeight="1">
      <c r="A764" s="126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</row>
    <row r="765" ht="12.75" customHeight="1">
      <c r="A765" s="126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</row>
    <row r="766" ht="12.75" customHeight="1">
      <c r="A766" s="126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</row>
    <row r="767" ht="12.75" customHeight="1">
      <c r="A767" s="126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</row>
    <row r="768" ht="12.75" customHeight="1">
      <c r="A768" s="126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</row>
    <row r="769" ht="12.75" customHeight="1">
      <c r="A769" s="126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</row>
    <row r="770" ht="12.75" customHeight="1">
      <c r="A770" s="126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</row>
    <row r="771" ht="12.75" customHeight="1">
      <c r="A771" s="126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</row>
    <row r="772" ht="12.75" customHeight="1">
      <c r="A772" s="126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</row>
    <row r="773" ht="12.75" customHeight="1">
      <c r="A773" s="126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</row>
    <row r="774" ht="12.75" customHeight="1">
      <c r="A774" s="126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</row>
    <row r="775" ht="12.75" customHeight="1">
      <c r="A775" s="126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</row>
    <row r="776" ht="12.75" customHeight="1">
      <c r="A776" s="126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</row>
    <row r="777" ht="12.75" customHeight="1">
      <c r="A777" s="126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</row>
    <row r="778" ht="12.75" customHeight="1">
      <c r="A778" s="126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</row>
    <row r="779" ht="12.75" customHeight="1">
      <c r="A779" s="126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</row>
    <row r="780" ht="12.75" customHeight="1">
      <c r="A780" s="126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</row>
    <row r="781" ht="12.75" customHeight="1">
      <c r="A781" s="126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</row>
    <row r="782" ht="12.75" customHeight="1">
      <c r="A782" s="126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</row>
    <row r="783" ht="12.75" customHeight="1">
      <c r="A783" s="126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</row>
    <row r="784" ht="12.75" customHeight="1">
      <c r="A784" s="126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</row>
    <row r="785" ht="12.75" customHeight="1">
      <c r="A785" s="126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</row>
    <row r="786" ht="12.75" customHeight="1">
      <c r="A786" s="126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</row>
    <row r="787" ht="12.75" customHeight="1">
      <c r="A787" s="126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</row>
    <row r="788" ht="12.75" customHeight="1">
      <c r="A788" s="126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</row>
    <row r="789" ht="12.75" customHeight="1">
      <c r="A789" s="126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</row>
    <row r="790" ht="12.75" customHeight="1">
      <c r="A790" s="126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</row>
    <row r="791" ht="12.75" customHeight="1">
      <c r="A791" s="126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</row>
    <row r="792" ht="12.75" customHeight="1">
      <c r="A792" s="126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</row>
    <row r="793" ht="12.75" customHeight="1">
      <c r="A793" s="126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</row>
    <row r="794" ht="12.75" customHeight="1">
      <c r="A794" s="126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</row>
    <row r="795" ht="12.75" customHeight="1">
      <c r="A795" s="126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</row>
    <row r="796" ht="12.75" customHeight="1">
      <c r="A796" s="126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</row>
    <row r="797" ht="12.75" customHeight="1">
      <c r="A797" s="126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</row>
    <row r="798" ht="12.75" customHeight="1">
      <c r="A798" s="126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</row>
    <row r="799" ht="12.75" customHeight="1">
      <c r="A799" s="126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</row>
    <row r="800" ht="12.75" customHeight="1">
      <c r="A800" s="126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</row>
    <row r="801" ht="12.75" customHeight="1">
      <c r="A801" s="126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</row>
    <row r="802" ht="12.75" customHeight="1">
      <c r="A802" s="126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</row>
    <row r="803" ht="12.75" customHeight="1">
      <c r="A803" s="126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</row>
    <row r="804" ht="12.75" customHeight="1">
      <c r="A804" s="126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</row>
    <row r="805" ht="12.75" customHeight="1">
      <c r="A805" s="126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</row>
    <row r="806" ht="12.75" customHeight="1">
      <c r="A806" s="126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</row>
    <row r="807" ht="12.75" customHeight="1">
      <c r="A807" s="126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</row>
    <row r="808" ht="12.75" customHeight="1">
      <c r="A808" s="126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</row>
    <row r="809" ht="12.75" customHeight="1">
      <c r="A809" s="126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</row>
    <row r="810" ht="12.75" customHeight="1">
      <c r="A810" s="126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</row>
    <row r="811" ht="12.75" customHeight="1">
      <c r="A811" s="126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</row>
    <row r="812" ht="12.75" customHeight="1">
      <c r="A812" s="126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</row>
    <row r="813" ht="12.75" customHeight="1">
      <c r="A813" s="126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</row>
    <row r="814" ht="12.75" customHeight="1">
      <c r="A814" s="126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</row>
    <row r="815" ht="12.75" customHeight="1">
      <c r="A815" s="126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</row>
    <row r="816" ht="12.75" customHeight="1">
      <c r="A816" s="126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</row>
    <row r="817" ht="12.75" customHeight="1">
      <c r="A817" s="126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</row>
    <row r="818" ht="12.75" customHeight="1">
      <c r="A818" s="126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</row>
    <row r="819" ht="12.75" customHeight="1">
      <c r="A819" s="126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</row>
    <row r="820" ht="12.75" customHeight="1">
      <c r="A820" s="126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</row>
    <row r="821" ht="12.75" customHeight="1">
      <c r="A821" s="126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</row>
    <row r="822" ht="12.75" customHeight="1">
      <c r="A822" s="126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</row>
    <row r="823" ht="12.75" customHeight="1">
      <c r="A823" s="126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</row>
    <row r="824" ht="12.75" customHeight="1">
      <c r="A824" s="126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</row>
    <row r="825" ht="12.75" customHeight="1">
      <c r="A825" s="126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</row>
    <row r="826" ht="12.75" customHeight="1">
      <c r="A826" s="126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</row>
    <row r="827" ht="12.75" customHeight="1">
      <c r="A827" s="126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</row>
    <row r="828" ht="12.75" customHeight="1">
      <c r="A828" s="126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</row>
    <row r="829" ht="12.75" customHeight="1">
      <c r="A829" s="126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</row>
    <row r="830" ht="12.75" customHeight="1">
      <c r="A830" s="126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</row>
    <row r="831" ht="12.75" customHeight="1">
      <c r="A831" s="126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</row>
    <row r="832" ht="12.75" customHeight="1">
      <c r="A832" s="126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</row>
    <row r="833" ht="12.75" customHeight="1">
      <c r="A833" s="126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</row>
    <row r="834" ht="12.75" customHeight="1">
      <c r="A834" s="126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</row>
    <row r="835" ht="12.75" customHeight="1">
      <c r="A835" s="126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</row>
    <row r="836" ht="12.75" customHeight="1">
      <c r="A836" s="126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</row>
    <row r="837" ht="12.75" customHeight="1">
      <c r="A837" s="126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</row>
    <row r="838" ht="12.75" customHeight="1">
      <c r="A838" s="126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</row>
    <row r="839" ht="12.75" customHeight="1">
      <c r="A839" s="126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</row>
    <row r="840" ht="12.75" customHeight="1">
      <c r="A840" s="126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</row>
    <row r="841" ht="12.75" customHeight="1">
      <c r="A841" s="126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</row>
    <row r="842" ht="12.75" customHeight="1">
      <c r="A842" s="126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</row>
    <row r="843" ht="12.75" customHeight="1">
      <c r="A843" s="126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</row>
    <row r="844" ht="12.75" customHeight="1">
      <c r="A844" s="126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</row>
    <row r="845" ht="12.75" customHeight="1">
      <c r="A845" s="126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</row>
    <row r="846" ht="12.75" customHeight="1">
      <c r="A846" s="126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</row>
    <row r="847" ht="12.75" customHeight="1">
      <c r="A847" s="126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</row>
    <row r="848" ht="12.75" customHeight="1">
      <c r="A848" s="126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</row>
    <row r="849" ht="12.75" customHeight="1">
      <c r="A849" s="126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</row>
    <row r="850" ht="12.75" customHeight="1">
      <c r="A850" s="126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</row>
    <row r="851" ht="12.75" customHeight="1">
      <c r="A851" s="126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</row>
    <row r="852" ht="12.75" customHeight="1">
      <c r="A852" s="126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</row>
    <row r="853" ht="12.75" customHeight="1">
      <c r="A853" s="126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</row>
    <row r="854" ht="12.75" customHeight="1">
      <c r="A854" s="126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</row>
    <row r="855" ht="12.75" customHeight="1">
      <c r="A855" s="126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</row>
    <row r="856" ht="12.75" customHeight="1">
      <c r="A856" s="126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</row>
    <row r="857" ht="12.75" customHeight="1">
      <c r="A857" s="126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</row>
    <row r="858" ht="12.75" customHeight="1">
      <c r="A858" s="126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</row>
    <row r="859" ht="12.75" customHeight="1">
      <c r="A859" s="126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</row>
    <row r="860" ht="12.75" customHeight="1">
      <c r="A860" s="126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</row>
    <row r="861" ht="12.75" customHeight="1">
      <c r="A861" s="126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</row>
    <row r="862" ht="12.75" customHeight="1">
      <c r="A862" s="126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</row>
    <row r="863" ht="12.75" customHeight="1">
      <c r="A863" s="126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</row>
    <row r="864" ht="12.75" customHeight="1">
      <c r="A864" s="126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</row>
    <row r="865" ht="12.75" customHeight="1">
      <c r="A865" s="126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</row>
    <row r="866" ht="12.75" customHeight="1">
      <c r="A866" s="126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</row>
    <row r="867" ht="12.75" customHeight="1">
      <c r="A867" s="126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</row>
    <row r="868" ht="12.75" customHeight="1">
      <c r="A868" s="126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</row>
    <row r="869" ht="12.75" customHeight="1">
      <c r="A869" s="126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</row>
    <row r="870" ht="12.75" customHeight="1">
      <c r="A870" s="126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</row>
    <row r="871" ht="12.75" customHeight="1">
      <c r="A871" s="126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</row>
    <row r="872" ht="12.75" customHeight="1">
      <c r="A872" s="126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</row>
    <row r="873" ht="12.75" customHeight="1">
      <c r="A873" s="126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</row>
    <row r="874" ht="12.75" customHeight="1">
      <c r="A874" s="126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</row>
    <row r="875" ht="12.75" customHeight="1">
      <c r="A875" s="126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</row>
    <row r="876" ht="12.75" customHeight="1">
      <c r="A876" s="126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</row>
    <row r="877" ht="12.75" customHeight="1">
      <c r="A877" s="126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</row>
    <row r="878" ht="12.75" customHeight="1">
      <c r="A878" s="126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</row>
    <row r="879" ht="12.75" customHeight="1">
      <c r="A879" s="126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</row>
    <row r="880" ht="12.75" customHeight="1">
      <c r="A880" s="126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</row>
    <row r="881" ht="12.75" customHeight="1">
      <c r="A881" s="126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</row>
    <row r="882" ht="12.75" customHeight="1">
      <c r="A882" s="126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</row>
    <row r="883" ht="12.75" customHeight="1">
      <c r="A883" s="126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</row>
    <row r="884" ht="12.75" customHeight="1">
      <c r="A884" s="126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</row>
    <row r="885" ht="12.75" customHeight="1">
      <c r="A885" s="126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</row>
    <row r="886" ht="12.75" customHeight="1">
      <c r="A886" s="126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</row>
    <row r="887" ht="12.75" customHeight="1">
      <c r="A887" s="126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</row>
    <row r="888" ht="12.75" customHeight="1">
      <c r="A888" s="126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</row>
    <row r="889" ht="12.75" customHeight="1">
      <c r="A889" s="126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</row>
    <row r="890" ht="12.75" customHeight="1">
      <c r="A890" s="126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</row>
    <row r="891" ht="12.75" customHeight="1">
      <c r="A891" s="126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</row>
    <row r="892" ht="12.75" customHeight="1">
      <c r="A892" s="126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</row>
    <row r="893" ht="12.75" customHeight="1">
      <c r="A893" s="126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</row>
    <row r="894" ht="12.75" customHeight="1">
      <c r="A894" s="126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</row>
    <row r="895" ht="12.75" customHeight="1">
      <c r="A895" s="126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</row>
    <row r="896" ht="12.75" customHeight="1">
      <c r="A896" s="126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</row>
    <row r="897" ht="12.75" customHeight="1">
      <c r="A897" s="126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</row>
    <row r="898" ht="12.75" customHeight="1">
      <c r="A898" s="126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</row>
    <row r="899" ht="12.75" customHeight="1">
      <c r="A899" s="126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</row>
    <row r="900" ht="12.75" customHeight="1">
      <c r="A900" s="126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</row>
    <row r="901" ht="12.75" customHeight="1">
      <c r="A901" s="126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</row>
    <row r="902" ht="12.75" customHeight="1">
      <c r="A902" s="126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</row>
    <row r="903" ht="12.75" customHeight="1">
      <c r="A903" s="126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</row>
    <row r="904" ht="12.75" customHeight="1">
      <c r="A904" s="126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</row>
    <row r="905" ht="12.75" customHeight="1">
      <c r="A905" s="126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</row>
    <row r="906" ht="12.75" customHeight="1">
      <c r="A906" s="126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</row>
    <row r="907" ht="12.75" customHeight="1">
      <c r="A907" s="126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</row>
    <row r="908" ht="12.75" customHeight="1">
      <c r="A908" s="126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</row>
    <row r="909" ht="12.75" customHeight="1">
      <c r="A909" s="126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</row>
    <row r="910" ht="12.75" customHeight="1">
      <c r="A910" s="126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</row>
    <row r="911" ht="12.75" customHeight="1">
      <c r="A911" s="126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</row>
    <row r="912" ht="12.75" customHeight="1">
      <c r="A912" s="126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</row>
    <row r="913" ht="12.75" customHeight="1">
      <c r="A913" s="126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</row>
    <row r="914" ht="12.75" customHeight="1">
      <c r="A914" s="126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</row>
    <row r="915" ht="12.75" customHeight="1">
      <c r="A915" s="126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</row>
    <row r="916" ht="12.75" customHeight="1">
      <c r="A916" s="126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</row>
    <row r="917" ht="12.75" customHeight="1">
      <c r="A917" s="126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</row>
    <row r="918" ht="12.75" customHeight="1">
      <c r="A918" s="126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</row>
    <row r="919" ht="12.75" customHeight="1">
      <c r="A919" s="126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</row>
    <row r="920" ht="12.75" customHeight="1">
      <c r="A920" s="126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</row>
    <row r="921" ht="12.75" customHeight="1">
      <c r="A921" s="126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</row>
    <row r="922" ht="12.75" customHeight="1">
      <c r="A922" s="126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</row>
    <row r="923" ht="12.75" customHeight="1">
      <c r="A923" s="126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</row>
    <row r="924" ht="12.75" customHeight="1">
      <c r="A924" s="126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</row>
    <row r="925" ht="12.75" customHeight="1">
      <c r="A925" s="126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</row>
    <row r="926" ht="12.75" customHeight="1">
      <c r="A926" s="126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</row>
    <row r="927" ht="12.75" customHeight="1">
      <c r="A927" s="126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</row>
    <row r="928" ht="12.75" customHeight="1">
      <c r="A928" s="126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</row>
    <row r="929" ht="12.75" customHeight="1">
      <c r="A929" s="126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</row>
    <row r="930" ht="12.75" customHeight="1">
      <c r="A930" s="126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</row>
    <row r="931" ht="12.75" customHeight="1">
      <c r="A931" s="126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</row>
    <row r="932" ht="12.75" customHeight="1">
      <c r="A932" s="126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</row>
    <row r="933" ht="12.75" customHeight="1">
      <c r="A933" s="126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</row>
    <row r="934" ht="12.75" customHeight="1">
      <c r="A934" s="126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</row>
    <row r="935" ht="12.75" customHeight="1">
      <c r="A935" s="126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</row>
    <row r="936" ht="12.75" customHeight="1">
      <c r="A936" s="126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</row>
    <row r="937" ht="12.75" customHeight="1">
      <c r="A937" s="126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</row>
    <row r="938" ht="12.75" customHeight="1">
      <c r="A938" s="126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</row>
    <row r="939" ht="12.75" customHeight="1">
      <c r="A939" s="126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</row>
    <row r="940" ht="12.75" customHeight="1">
      <c r="A940" s="126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</row>
    <row r="941" ht="12.75" customHeight="1">
      <c r="A941" s="126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</row>
    <row r="942" ht="12.75" customHeight="1">
      <c r="A942" s="126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</row>
    <row r="943" ht="12.75" customHeight="1">
      <c r="A943" s="126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</row>
    <row r="944" ht="12.75" customHeight="1">
      <c r="A944" s="126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</row>
    <row r="945" ht="12.75" customHeight="1">
      <c r="A945" s="126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</row>
    <row r="946" ht="12.75" customHeight="1">
      <c r="A946" s="126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</row>
    <row r="947" ht="12.75" customHeight="1">
      <c r="A947" s="126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</row>
    <row r="948" ht="12.75" customHeight="1">
      <c r="A948" s="126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</row>
    <row r="949" ht="12.75" customHeight="1">
      <c r="A949" s="126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</row>
    <row r="950" ht="12.75" customHeight="1">
      <c r="A950" s="126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</row>
    <row r="951" ht="12.75" customHeight="1">
      <c r="A951" s="126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</row>
    <row r="952" ht="12.75" customHeight="1">
      <c r="A952" s="126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</row>
    <row r="953" ht="12.75" customHeight="1">
      <c r="A953" s="126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</row>
    <row r="954" ht="12.75" customHeight="1">
      <c r="A954" s="126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</row>
    <row r="955" ht="12.75" customHeight="1">
      <c r="A955" s="126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</row>
    <row r="956" ht="12.75" customHeight="1">
      <c r="A956" s="126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</row>
    <row r="957" ht="12.75" customHeight="1">
      <c r="A957" s="126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</row>
    <row r="958" ht="12.75" customHeight="1">
      <c r="A958" s="126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</row>
    <row r="959" ht="12.75" customHeight="1">
      <c r="A959" s="126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</row>
    <row r="960" ht="12.75" customHeight="1">
      <c r="A960" s="126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</row>
    <row r="961" ht="12.75" customHeight="1">
      <c r="A961" s="126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</row>
    <row r="962" ht="12.75" customHeight="1">
      <c r="A962" s="126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</row>
    <row r="963" ht="12.75" customHeight="1">
      <c r="A963" s="126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</row>
    <row r="964" ht="12.75" customHeight="1">
      <c r="A964" s="126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</row>
    <row r="965" ht="12.75" customHeight="1">
      <c r="A965" s="126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</row>
    <row r="966" ht="12.75" customHeight="1">
      <c r="A966" s="126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</row>
    <row r="967" ht="12.75" customHeight="1">
      <c r="A967" s="126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</row>
    <row r="968" ht="12.75" customHeight="1">
      <c r="A968" s="126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</row>
    <row r="969" ht="12.75" customHeight="1">
      <c r="A969" s="126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</row>
    <row r="970" ht="12.75" customHeight="1">
      <c r="A970" s="126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</row>
    <row r="971" ht="12.75" customHeight="1">
      <c r="A971" s="126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</row>
    <row r="972" ht="12.75" customHeight="1">
      <c r="A972" s="126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</row>
    <row r="973" ht="12.75" customHeight="1">
      <c r="A973" s="126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</row>
    <row r="974" ht="12.75" customHeight="1">
      <c r="A974" s="126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</row>
    <row r="975" ht="12.75" customHeight="1">
      <c r="A975" s="126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</row>
    <row r="976" ht="12.75" customHeight="1">
      <c r="A976" s="126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</row>
    <row r="977" ht="12.75" customHeight="1">
      <c r="A977" s="126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</row>
    <row r="978" ht="12.75" customHeight="1">
      <c r="A978" s="126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</row>
    <row r="979" ht="12.75" customHeight="1">
      <c r="A979" s="126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</row>
    <row r="980" ht="12.75" customHeight="1">
      <c r="A980" s="126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</row>
    <row r="981" ht="12.75" customHeight="1">
      <c r="A981" s="126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</row>
    <row r="982" ht="12.75" customHeight="1">
      <c r="A982" s="126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</row>
    <row r="983" ht="12.75" customHeight="1">
      <c r="A983" s="126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</row>
    <row r="984" ht="12.75" customHeight="1">
      <c r="A984" s="126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</row>
    <row r="985" ht="12.75" customHeight="1">
      <c r="A985" s="126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</row>
    <row r="986" ht="12.75" customHeight="1">
      <c r="A986" s="126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</row>
    <row r="987" ht="12.75" customHeight="1">
      <c r="A987" s="126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</row>
    <row r="988" ht="12.75" customHeight="1">
      <c r="A988" s="126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</row>
    <row r="989" ht="12.75" customHeight="1">
      <c r="A989" s="126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</row>
    <row r="990" ht="12.75" customHeight="1">
      <c r="A990" s="126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</row>
    <row r="991" ht="12.75" customHeight="1">
      <c r="A991" s="126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</row>
    <row r="992" ht="12.75" customHeight="1">
      <c r="A992" s="126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</row>
    <row r="993" ht="12.75" customHeight="1">
      <c r="A993" s="126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</row>
    <row r="994" ht="12.75" customHeight="1">
      <c r="A994" s="126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</row>
    <row r="995" ht="12.75" customHeight="1">
      <c r="F995" s="127"/>
    </row>
    <row r="996" ht="12.75" customHeight="1">
      <c r="F996" s="127"/>
    </row>
    <row r="997" ht="12.75" customHeight="1">
      <c r="A997" s="126"/>
      <c r="B997" s="124"/>
      <c r="C997" s="124"/>
      <c r="D997" s="124"/>
      <c r="E997" s="124"/>
      <c r="F997" s="124"/>
      <c r="G997" s="124"/>
      <c r="H997" s="124"/>
    </row>
    <row r="998" ht="12.75" customHeight="1">
      <c r="F998" s="127"/>
    </row>
    <row r="999" ht="12.75" customHeight="1">
      <c r="F999" s="127"/>
    </row>
    <row r="1000" ht="12.75" customHeight="1"/>
  </sheetData>
  <autoFilter ref="$A$2:$G$399"/>
  <mergeCells count="6">
    <mergeCell ref="A1:G1"/>
    <mergeCell ref="I2:J2"/>
    <mergeCell ref="I12:K12"/>
    <mergeCell ref="I14:J14"/>
    <mergeCell ref="I15:J15"/>
    <mergeCell ref="I16:J16"/>
  </mergeCells>
  <conditionalFormatting sqref="I9">
    <cfRule type="containsText" dxfId="9" priority="1" operator="containsText" text="Completed">
      <formula>NOT(ISERROR(SEARCH(("Completed"),(I9))))</formula>
    </cfRule>
  </conditionalFormatting>
  <conditionalFormatting sqref="I9">
    <cfRule type="containsText" dxfId="10" priority="2" operator="containsText" text="Pending">
      <formula>NOT(ISERROR(SEARCH(("Pending"),(I9))))</formula>
    </cfRule>
  </conditionalFormatting>
  <conditionalFormatting sqref="J3:J9">
    <cfRule type="containsText" dxfId="0" priority="3" operator="containsText" text="Done">
      <formula>NOT(ISERROR(SEARCH(("Done"),(J3))))</formula>
    </cfRule>
  </conditionalFormatting>
  <conditionalFormatting sqref="J3:J9">
    <cfRule type="containsText" dxfId="1" priority="4" operator="containsText" text="In Progress">
      <formula>NOT(ISERROR(SEARCH(("In Progress"),(J3))))</formula>
    </cfRule>
  </conditionalFormatting>
  <conditionalFormatting sqref="J3:J9">
    <cfRule type="containsText" dxfId="11" priority="5" operator="containsText" text="Not Started">
      <formula>NOT(ISERROR(SEARCH(("Not Started"),(J3))))</formula>
    </cfRule>
  </conditionalFormatting>
  <conditionalFormatting sqref="J3:J9">
    <cfRule type="containsText" dxfId="3" priority="6" operator="containsText" text="NA">
      <formula>NOT(ISERROR(SEARCH(("NA"),(J3))))</formula>
    </cfRule>
  </conditionalFormatting>
  <conditionalFormatting sqref="J7">
    <cfRule type="containsText" dxfId="12" priority="7" operator="containsText" text="Issue Triggered">
      <formula>NOT(ISERROR(SEARCH(("Issue Triggered"),(J7))))</formula>
    </cfRule>
  </conditionalFormatting>
  <conditionalFormatting sqref="J3:J9">
    <cfRule type="containsText" dxfId="13" priority="8" operator="containsText" text="PASS">
      <formula>NOT(ISERROR(SEARCH(("PASS"),(J3))))</formula>
    </cfRule>
  </conditionalFormatting>
  <conditionalFormatting sqref="J3:J9">
    <cfRule type="containsText" dxfId="15" priority="9" operator="containsText" text="PROBLEM">
      <formula>NOT(ISERROR(SEARCH(("PROBLEM"),(J3))))</formula>
    </cfRule>
  </conditionalFormatting>
  <conditionalFormatting sqref="J3:J9">
    <cfRule type="containsText" dxfId="16" priority="10" operator="containsText" text="NOT CHECKED">
      <formula>NOT(ISERROR(SEARCH(("NOT CHECKED"),(J3))))</formula>
    </cfRule>
  </conditionalFormatting>
  <conditionalFormatting sqref="J3:J9">
    <cfRule type="containsText" dxfId="17" priority="11" operator="containsText" text="NOT USED">
      <formula>NOT(ISERROR(SEARCH(("NOT USED"),(J3))))</formula>
    </cfRule>
  </conditionalFormatting>
  <conditionalFormatting sqref="J3:J9">
    <cfRule type="containsText" dxfId="18" priority="12" operator="containsText" text="N/A">
      <formula>NOT(ISERROR(SEARCH(("N/A"),(J3))))</formula>
    </cfRule>
  </conditionalFormatting>
  <conditionalFormatting sqref="J3:J6">
    <cfRule type="containsText" dxfId="21" priority="13" operator="containsText" text="Accepted">
      <formula>NOT(ISERROR(SEARCH(("Accepted"),(J3))))</formula>
    </cfRule>
  </conditionalFormatting>
  <conditionalFormatting sqref="J3:J6">
    <cfRule type="containsText" dxfId="22" priority="14" operator="containsText" text="Not Started">
      <formula>NOT(ISERROR(SEARCH(("Not Started"),(J3))))</formula>
    </cfRule>
  </conditionalFormatting>
  <conditionalFormatting sqref="F3:F401">
    <cfRule type="containsText" dxfId="23" priority="15" operator="containsText" text="To be change">
      <formula>NOT(ISERROR(SEARCH(("To be change"),(F3))))</formula>
    </cfRule>
  </conditionalFormatting>
  <conditionalFormatting sqref="F1:F401 G2">
    <cfRule type="containsText" dxfId="13" priority="16" operator="containsText" text="Okay">
      <formula>NOT(ISERROR(SEARCH(("Okay"),(F1))))</formula>
    </cfRule>
  </conditionalFormatting>
  <conditionalFormatting sqref="J3:J5">
    <cfRule type="containsText" dxfId="13" priority="17" operator="containsText" text="OKAY">
      <formula>NOT(ISERROR(SEARCH(("OKAY"),(J3))))</formula>
    </cfRule>
  </conditionalFormatting>
  <conditionalFormatting sqref="J3:J9">
    <cfRule type="containsText" dxfId="14" priority="18" operator="containsText" text="CHECK">
      <formula>NOT(ISERROR(SEARCH(("CHECK"),(J3))))</formula>
    </cfRule>
  </conditionalFormatting>
  <conditionalFormatting sqref="J3:J5">
    <cfRule type="containsText" dxfId="15" priority="19" operator="containsText" text="CHANGE">
      <formula>NOT(ISERROR(SEARCH(("CHANGE"),(J3))))</formula>
    </cfRule>
  </conditionalFormatting>
  <dataValidations>
    <dataValidation type="list" allowBlank="1" showInputMessage="1" showErrorMessage="1" prompt="Select Status" sqref="F3:F401">
      <formula1>"Okay,To be Change"</formula1>
    </dataValidation>
  </dataValidations>
  <hyperlinks>
    <hyperlink display="Jump to Length Matching Report" location="'Annexure-III'!A404" ref="I12"/>
    <hyperlink display="Previous" location="'Annexure-II'!A1" ref="I14"/>
    <hyperlink display="Home" location="Overview!A1" ref="I15"/>
    <hyperlink display="Next" location="'Annexure-IV'!A1" ref="I16"/>
  </hyperlink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8.13"/>
    <col customWidth="1" min="3" max="3" width="22.0"/>
    <col customWidth="1" min="4" max="4" width="19.88"/>
    <col customWidth="1" min="5" max="5" width="14.88"/>
    <col customWidth="1" min="6" max="6" width="13.75"/>
    <col customWidth="1" min="7" max="7" width="33.5"/>
    <col customWidth="1" min="10" max="10" width="13.13"/>
  </cols>
  <sheetData>
    <row r="1" ht="12.75" customHeight="1">
      <c r="A1" s="1" t="s">
        <v>165</v>
      </c>
      <c r="B1" s="2"/>
      <c r="C1" s="2"/>
      <c r="D1" s="2"/>
      <c r="E1" s="2"/>
      <c r="F1" s="2"/>
      <c r="G1" s="3"/>
    </row>
    <row r="2" ht="19.5" customHeight="1">
      <c r="A2" s="105" t="s">
        <v>2</v>
      </c>
      <c r="B2" s="128" t="s">
        <v>166</v>
      </c>
      <c r="C2" s="106" t="s">
        <v>167</v>
      </c>
      <c r="D2" s="107" t="s">
        <v>168</v>
      </c>
      <c r="E2" s="107" t="s">
        <v>169</v>
      </c>
      <c r="F2" s="108" t="s">
        <v>7</v>
      </c>
      <c r="G2" s="107" t="s">
        <v>8</v>
      </c>
      <c r="H2" s="90"/>
      <c r="I2" s="38" t="s">
        <v>59</v>
      </c>
      <c r="J2" s="3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2.75" customHeight="1">
      <c r="A3" s="100">
        <v>1.0</v>
      </c>
      <c r="B3" s="129"/>
      <c r="C3" s="100"/>
      <c r="D3" s="100"/>
      <c r="E3" s="129"/>
      <c r="F3" s="101"/>
      <c r="G3" s="92"/>
      <c r="I3" s="43">
        <f>COUNTIF(F:F,"Done")</f>
        <v>0</v>
      </c>
      <c r="J3" s="41" t="s">
        <v>62</v>
      </c>
    </row>
    <row r="4" ht="12.75" customHeight="1">
      <c r="A4" s="100">
        <v>2.0</v>
      </c>
      <c r="B4" s="129"/>
      <c r="C4" s="100"/>
      <c r="D4" s="100"/>
      <c r="E4" s="129"/>
      <c r="F4" s="101"/>
      <c r="G4" s="92"/>
      <c r="I4" s="43">
        <f>COUNTIF(F:F,"In Progress")</f>
        <v>0</v>
      </c>
      <c r="J4" s="41" t="s">
        <v>64</v>
      </c>
    </row>
    <row r="5" ht="12.75" customHeight="1">
      <c r="A5" s="100">
        <v>3.0</v>
      </c>
      <c r="B5" s="129"/>
      <c r="C5" s="100"/>
      <c r="D5" s="100"/>
      <c r="E5" s="129"/>
      <c r="F5" s="101"/>
      <c r="G5" s="92"/>
      <c r="I5" s="43">
        <f>COUNTIF(F:F,"Issue Triggered")</f>
        <v>0</v>
      </c>
      <c r="J5" s="46" t="s">
        <v>15</v>
      </c>
    </row>
    <row r="6" ht="12.75" customHeight="1">
      <c r="A6" s="100">
        <v>4.0</v>
      </c>
      <c r="B6" s="129"/>
      <c r="C6" s="100"/>
      <c r="D6" s="100"/>
      <c r="E6" s="129"/>
      <c r="F6" s="101"/>
      <c r="G6" s="92"/>
      <c r="I6" s="43">
        <f t="shared" ref="I6:I7" si="1">COUNTIF(F:F,"NA")</f>
        <v>0</v>
      </c>
      <c r="J6" s="47" t="s">
        <v>67</v>
      </c>
    </row>
    <row r="7" ht="12.75" customHeight="1">
      <c r="A7" s="100">
        <v>5.0</v>
      </c>
      <c r="B7" s="129"/>
      <c r="C7" s="100"/>
      <c r="D7" s="100"/>
      <c r="E7" s="129"/>
      <c r="F7" s="101"/>
      <c r="G7" s="92"/>
      <c r="I7" s="43">
        <f t="shared" si="1"/>
        <v>0</v>
      </c>
      <c r="J7" s="48" t="s">
        <v>61</v>
      </c>
    </row>
    <row r="8" ht="12.75" customHeight="1">
      <c r="A8" s="100">
        <v>6.0</v>
      </c>
      <c r="B8" s="129"/>
      <c r="C8" s="100"/>
      <c r="D8" s="100"/>
      <c r="E8" s="129"/>
      <c r="F8" s="101"/>
      <c r="G8" s="92"/>
      <c r="I8" s="43">
        <f>COUNTIF(D4:D1000,"&lt;&gt;")</f>
        <v>0</v>
      </c>
      <c r="J8" s="49" t="s">
        <v>70</v>
      </c>
    </row>
    <row r="9" ht="12.75" customHeight="1">
      <c r="A9" s="100">
        <v>7.0</v>
      </c>
      <c r="B9" s="129"/>
      <c r="C9" s="100"/>
      <c r="D9" s="100"/>
      <c r="E9" s="129"/>
      <c r="F9" s="101"/>
      <c r="G9" s="92"/>
      <c r="I9" s="66" t="str">
        <f>IF((I8)=(I3+I7),"Completed","Pending")</f>
        <v>Completed</v>
      </c>
      <c r="J9" s="51" t="s">
        <v>72</v>
      </c>
    </row>
    <row r="10" ht="12.75" customHeight="1">
      <c r="A10" s="100">
        <v>8.0</v>
      </c>
      <c r="B10" s="129"/>
      <c r="C10" s="100"/>
      <c r="D10" s="100"/>
      <c r="E10" s="129"/>
      <c r="F10" s="101"/>
      <c r="G10" s="92"/>
    </row>
    <row r="11" ht="12.75" customHeight="1">
      <c r="A11" s="100">
        <v>9.0</v>
      </c>
      <c r="B11" s="129"/>
      <c r="C11" s="100"/>
      <c r="D11" s="100"/>
      <c r="E11" s="129"/>
      <c r="F11" s="101"/>
      <c r="G11" s="92"/>
      <c r="I11" s="81" t="s">
        <v>137</v>
      </c>
      <c r="J11" s="6"/>
    </row>
    <row r="12" ht="12.75" customHeight="1">
      <c r="A12" s="100">
        <v>10.0</v>
      </c>
      <c r="B12" s="129"/>
      <c r="C12" s="100"/>
      <c r="D12" s="100"/>
      <c r="E12" s="129"/>
      <c r="F12" s="101"/>
      <c r="G12" s="92"/>
      <c r="I12" s="82" t="s">
        <v>77</v>
      </c>
      <c r="J12" s="6"/>
    </row>
    <row r="13" ht="12.75" customHeight="1">
      <c r="A13" s="100">
        <v>11.0</v>
      </c>
      <c r="B13" s="129"/>
      <c r="C13" s="100"/>
      <c r="D13" s="100"/>
      <c r="E13" s="129"/>
      <c r="F13" s="101"/>
      <c r="G13" s="92"/>
      <c r="I13" s="130" t="s">
        <v>170</v>
      </c>
      <c r="J13" s="6"/>
    </row>
    <row r="14" ht="12.75" customHeight="1">
      <c r="A14" s="100">
        <v>12.0</v>
      </c>
      <c r="B14" s="129"/>
      <c r="C14" s="100"/>
      <c r="D14" s="100"/>
      <c r="E14" s="129"/>
      <c r="F14" s="101"/>
      <c r="G14" s="92"/>
    </row>
    <row r="15" ht="12.75" customHeight="1">
      <c r="A15" s="100">
        <v>13.0</v>
      </c>
      <c r="B15" s="129"/>
      <c r="C15" s="100"/>
      <c r="D15" s="100"/>
      <c r="E15" s="129"/>
      <c r="F15" s="101"/>
      <c r="G15" s="92"/>
    </row>
    <row r="16" ht="12.75" customHeight="1">
      <c r="A16" s="100">
        <v>14.0</v>
      </c>
      <c r="B16" s="129"/>
      <c r="C16" s="100"/>
      <c r="D16" s="100"/>
      <c r="E16" s="129"/>
      <c r="F16" s="101"/>
      <c r="G16" s="92"/>
    </row>
    <row r="17" ht="12.75" customHeight="1">
      <c r="A17" s="100">
        <v>15.0</v>
      </c>
      <c r="B17" s="129"/>
      <c r="C17" s="100"/>
      <c r="D17" s="100"/>
      <c r="E17" s="129"/>
      <c r="F17" s="101"/>
      <c r="G17" s="92"/>
      <c r="I17" s="74" t="s">
        <v>86</v>
      </c>
    </row>
    <row r="18" ht="12.75" customHeight="1">
      <c r="A18" s="100">
        <v>16.0</v>
      </c>
      <c r="B18" s="129"/>
      <c r="C18" s="100"/>
      <c r="D18" s="100"/>
      <c r="E18" s="129"/>
      <c r="F18" s="101"/>
      <c r="G18" s="92"/>
      <c r="I18" s="74" t="s">
        <v>86</v>
      </c>
    </row>
    <row r="19" ht="12.75" customHeight="1">
      <c r="A19" s="100">
        <v>17.0</v>
      </c>
      <c r="B19" s="129"/>
      <c r="C19" s="100"/>
      <c r="D19" s="100"/>
      <c r="E19" s="129"/>
      <c r="F19" s="101"/>
      <c r="G19" s="92"/>
    </row>
    <row r="20" ht="12.75" customHeight="1">
      <c r="A20" s="100">
        <v>18.0</v>
      </c>
      <c r="B20" s="129"/>
      <c r="C20" s="100"/>
      <c r="D20" s="100"/>
      <c r="E20" s="129"/>
      <c r="F20" s="101"/>
      <c r="G20" s="92"/>
    </row>
    <row r="21" ht="12.75" customHeight="1">
      <c r="A21" s="100">
        <v>19.0</v>
      </c>
      <c r="B21" s="129"/>
      <c r="C21" s="100"/>
      <c r="D21" s="100"/>
      <c r="E21" s="129"/>
      <c r="F21" s="101"/>
      <c r="G21" s="92"/>
    </row>
    <row r="22" ht="12.75" customHeight="1">
      <c r="A22" s="100">
        <v>20.0</v>
      </c>
      <c r="B22" s="129"/>
      <c r="C22" s="100"/>
      <c r="D22" s="100"/>
      <c r="E22" s="129"/>
      <c r="F22" s="101"/>
      <c r="G22" s="92"/>
    </row>
    <row r="23" ht="12.75" customHeight="1">
      <c r="A23" s="100">
        <v>21.0</v>
      </c>
      <c r="B23" s="129"/>
      <c r="C23" s="100"/>
      <c r="D23" s="100"/>
      <c r="E23" s="129"/>
      <c r="F23" s="101"/>
      <c r="G23" s="92"/>
    </row>
    <row r="24" ht="12.75" customHeight="1">
      <c r="A24" s="91"/>
      <c r="B24" s="131"/>
      <c r="C24" s="93"/>
      <c r="D24" s="73"/>
      <c r="E24" s="98"/>
      <c r="F24" s="101"/>
      <c r="G24" s="92"/>
    </row>
    <row r="25" ht="12.75" customHeight="1">
      <c r="A25" s="91"/>
      <c r="B25" s="98"/>
      <c r="C25" s="73"/>
      <c r="D25" s="73"/>
      <c r="E25" s="98"/>
      <c r="F25" s="101"/>
      <c r="G25" s="92"/>
    </row>
    <row r="26" ht="12.75" customHeight="1">
      <c r="A26" s="91"/>
      <c r="B26" s="98"/>
      <c r="C26" s="73"/>
      <c r="D26" s="73"/>
      <c r="E26" s="98"/>
      <c r="F26" s="101"/>
      <c r="G26" s="92"/>
    </row>
    <row r="27" ht="12.75" customHeight="1">
      <c r="A27" s="91"/>
      <c r="B27" s="98"/>
      <c r="C27" s="73"/>
      <c r="D27" s="73"/>
      <c r="E27" s="98"/>
      <c r="F27" s="101"/>
      <c r="G27" s="92"/>
    </row>
    <row r="28" ht="12.75" customHeight="1">
      <c r="A28" s="91"/>
      <c r="B28" s="98"/>
      <c r="C28" s="73"/>
      <c r="D28" s="73"/>
      <c r="E28" s="98"/>
      <c r="F28" s="101"/>
      <c r="G28" s="92"/>
    </row>
    <row r="29" ht="12.75" customHeight="1">
      <c r="A29" s="91"/>
      <c r="B29" s="131"/>
      <c r="C29" s="93"/>
      <c r="D29" s="73"/>
      <c r="E29" s="98"/>
      <c r="F29" s="101"/>
      <c r="G29" s="92"/>
    </row>
    <row r="30" ht="12.75" customHeight="1">
      <c r="A30" s="95"/>
      <c r="B30" s="98"/>
      <c r="C30" s="73"/>
      <c r="D30" s="73"/>
      <c r="E30" s="98"/>
      <c r="F30" s="101"/>
      <c r="G30" s="92"/>
    </row>
    <row r="31" ht="12.75" customHeight="1">
      <c r="A31" s="95"/>
      <c r="B31" s="98"/>
      <c r="C31" s="73"/>
      <c r="D31" s="73"/>
      <c r="E31" s="98"/>
      <c r="F31" s="101"/>
      <c r="G31" s="92"/>
    </row>
    <row r="32" ht="12.75" customHeight="1">
      <c r="A32" s="95"/>
      <c r="B32" s="98"/>
      <c r="C32" s="73"/>
      <c r="D32" s="73"/>
      <c r="E32" s="98"/>
      <c r="F32" s="101"/>
      <c r="G32" s="92"/>
    </row>
    <row r="33" ht="12.75" customHeight="1">
      <c r="A33" s="95"/>
      <c r="B33" s="98"/>
      <c r="C33" s="73"/>
      <c r="D33" s="73"/>
      <c r="E33" s="98"/>
      <c r="F33" s="101"/>
      <c r="G33" s="92"/>
    </row>
    <row r="34" ht="12.75" customHeight="1">
      <c r="A34" s="95"/>
      <c r="B34" s="98"/>
      <c r="C34" s="73"/>
      <c r="D34" s="73"/>
      <c r="E34" s="98"/>
      <c r="F34" s="101"/>
      <c r="G34" s="92"/>
    </row>
    <row r="35" ht="12.75" customHeight="1">
      <c r="A35" s="95"/>
      <c r="B35" s="98"/>
      <c r="C35" s="73"/>
      <c r="D35" s="73"/>
      <c r="E35" s="98"/>
      <c r="F35" s="101"/>
      <c r="G35" s="92"/>
    </row>
    <row r="36" ht="12.75" customHeight="1">
      <c r="A36" s="95"/>
      <c r="B36" s="98"/>
      <c r="C36" s="73"/>
      <c r="D36" s="73"/>
      <c r="E36" s="98"/>
      <c r="F36" s="101"/>
      <c r="G36" s="92"/>
    </row>
    <row r="37" ht="12.75" customHeight="1">
      <c r="A37" s="95"/>
      <c r="B37" s="132"/>
      <c r="C37" s="96"/>
      <c r="D37" s="73"/>
      <c r="E37" s="98"/>
      <c r="F37" s="101"/>
      <c r="G37" s="92"/>
    </row>
    <row r="38" ht="12.75" customHeight="1">
      <c r="A38" s="95"/>
      <c r="B38" s="132"/>
      <c r="C38" s="96"/>
      <c r="D38" s="73"/>
      <c r="E38" s="98"/>
      <c r="F38" s="101"/>
      <c r="G38" s="92"/>
    </row>
    <row r="39" ht="12.75" customHeight="1">
      <c r="A39" s="95"/>
      <c r="B39" s="98"/>
      <c r="C39" s="73"/>
      <c r="D39" s="73"/>
      <c r="E39" s="98"/>
      <c r="F39" s="101"/>
      <c r="G39" s="92"/>
    </row>
    <row r="40" ht="12.75" customHeight="1">
      <c r="A40" s="95"/>
      <c r="B40" s="98"/>
      <c r="C40" s="73"/>
      <c r="D40" s="73"/>
      <c r="E40" s="98"/>
      <c r="F40" s="101"/>
      <c r="G40" s="92"/>
    </row>
    <row r="41" ht="12.75" customHeight="1">
      <c r="A41" s="95"/>
      <c r="B41" s="98"/>
      <c r="C41" s="73"/>
      <c r="D41" s="73"/>
      <c r="E41" s="98"/>
      <c r="F41" s="101"/>
      <c r="G41" s="92"/>
    </row>
    <row r="42" ht="12.75" customHeight="1">
      <c r="A42" s="95"/>
      <c r="B42" s="98"/>
      <c r="C42" s="73"/>
      <c r="D42" s="73"/>
      <c r="E42" s="98"/>
      <c r="F42" s="101"/>
      <c r="G42" s="92"/>
    </row>
    <row r="43" ht="12.75" customHeight="1">
      <c r="A43" s="95"/>
      <c r="B43" s="98"/>
      <c r="C43" s="73"/>
      <c r="D43" s="73"/>
      <c r="E43" s="98"/>
      <c r="F43" s="101"/>
      <c r="G43" s="92"/>
    </row>
    <row r="44" ht="12.75" customHeight="1">
      <c r="A44" s="97"/>
      <c r="B44" s="98"/>
      <c r="C44" s="73"/>
      <c r="D44" s="73"/>
      <c r="E44" s="98"/>
      <c r="F44" s="101"/>
      <c r="G44" s="92"/>
    </row>
    <row r="45" ht="12.75" customHeight="1">
      <c r="A45" s="95"/>
      <c r="B45" s="98"/>
      <c r="C45" s="73"/>
      <c r="D45" s="73"/>
      <c r="E45" s="98"/>
      <c r="F45" s="101"/>
      <c r="G45" s="92"/>
    </row>
    <row r="46" ht="12.75" customHeight="1">
      <c r="A46" s="95"/>
      <c r="B46" s="98"/>
      <c r="C46" s="73"/>
      <c r="D46" s="73"/>
      <c r="E46" s="98"/>
      <c r="F46" s="101"/>
      <c r="G46" s="92"/>
    </row>
    <row r="47" ht="12.75" customHeight="1">
      <c r="A47" s="95"/>
      <c r="B47" s="98"/>
      <c r="C47" s="73"/>
      <c r="D47" s="73"/>
      <c r="E47" s="98"/>
      <c r="F47" s="101"/>
      <c r="G47" s="92"/>
    </row>
    <row r="48" ht="12.75" customHeight="1">
      <c r="A48" s="95"/>
      <c r="B48" s="98"/>
      <c r="C48" s="73"/>
      <c r="D48" s="73"/>
      <c r="E48" s="98"/>
      <c r="F48" s="101"/>
      <c r="G48" s="92"/>
    </row>
    <row r="49" ht="12.75" customHeight="1">
      <c r="A49" s="95"/>
      <c r="B49" s="98"/>
      <c r="C49" s="73"/>
      <c r="D49" s="73"/>
      <c r="E49" s="98"/>
      <c r="F49" s="101"/>
      <c r="G49" s="92"/>
    </row>
    <row r="50" ht="12.75" customHeight="1">
      <c r="A50" s="97"/>
      <c r="B50" s="98"/>
      <c r="C50" s="73"/>
      <c r="D50" s="73"/>
      <c r="E50" s="98"/>
      <c r="F50" s="101"/>
      <c r="G50" s="92"/>
    </row>
    <row r="51" ht="12.75" customHeight="1">
      <c r="A51" s="97"/>
      <c r="B51" s="98"/>
      <c r="C51" s="73"/>
      <c r="D51" s="73"/>
      <c r="E51" s="98"/>
      <c r="F51" s="101"/>
      <c r="G51" s="92"/>
    </row>
    <row r="52" ht="12.75" customHeight="1">
      <c r="A52" s="95"/>
      <c r="B52" s="98"/>
      <c r="C52" s="73"/>
      <c r="D52" s="73"/>
      <c r="E52" s="98"/>
      <c r="F52" s="101"/>
      <c r="G52" s="92"/>
    </row>
    <row r="53" ht="12.75" customHeight="1">
      <c r="A53" s="95"/>
      <c r="B53" s="98"/>
      <c r="C53" s="73"/>
      <c r="D53" s="73"/>
      <c r="E53" s="98"/>
      <c r="F53" s="101"/>
      <c r="G53" s="92"/>
    </row>
    <row r="54" ht="12.75" customHeight="1">
      <c r="A54" s="95"/>
      <c r="B54" s="98"/>
      <c r="C54" s="73"/>
      <c r="D54" s="73"/>
      <c r="E54" s="98"/>
      <c r="F54" s="101"/>
      <c r="G54" s="92"/>
    </row>
    <row r="55" ht="12.75" customHeight="1">
      <c r="A55" s="95"/>
      <c r="B55" s="98"/>
      <c r="C55" s="73"/>
      <c r="D55" s="73"/>
      <c r="E55" s="98"/>
      <c r="F55" s="101"/>
      <c r="G55" s="92"/>
    </row>
    <row r="56" ht="12.75" customHeight="1">
      <c r="A56" s="95"/>
      <c r="B56" s="98"/>
      <c r="C56" s="73"/>
      <c r="D56" s="73"/>
      <c r="E56" s="98"/>
      <c r="F56" s="101"/>
      <c r="G56" s="92"/>
    </row>
    <row r="57" ht="12.75" customHeight="1">
      <c r="A57" s="98"/>
      <c r="B57" s="98"/>
      <c r="C57" s="73"/>
      <c r="D57" s="73"/>
      <c r="E57" s="98"/>
      <c r="F57" s="101"/>
      <c r="G57" s="92"/>
    </row>
    <row r="58" ht="12.75" customHeight="1">
      <c r="A58" s="95"/>
      <c r="B58" s="98"/>
      <c r="C58" s="73"/>
      <c r="D58" s="73"/>
      <c r="E58" s="98"/>
      <c r="F58" s="101"/>
      <c r="G58" s="92"/>
    </row>
    <row r="59" ht="12.75" customHeight="1">
      <c r="A59" s="95"/>
      <c r="B59" s="98"/>
      <c r="C59" s="73"/>
      <c r="D59" s="73"/>
      <c r="E59" s="98"/>
      <c r="F59" s="101"/>
      <c r="G59" s="92"/>
    </row>
    <row r="60" ht="12.75" customHeight="1">
      <c r="A60" s="95"/>
      <c r="B60" s="98"/>
      <c r="C60" s="73"/>
      <c r="D60" s="73"/>
      <c r="E60" s="98"/>
      <c r="F60" s="101"/>
      <c r="G60" s="92"/>
    </row>
    <row r="61" ht="12.75" customHeight="1">
      <c r="A61" s="95"/>
      <c r="B61" s="98"/>
      <c r="C61" s="73"/>
      <c r="D61" s="73"/>
      <c r="E61" s="98"/>
      <c r="F61" s="101"/>
      <c r="G61" s="92"/>
    </row>
    <row r="62" ht="12.75" customHeight="1">
      <c r="A62" s="95"/>
      <c r="B62" s="98"/>
      <c r="C62" s="73"/>
      <c r="D62" s="73"/>
      <c r="E62" s="98"/>
      <c r="F62" s="101"/>
      <c r="G62" s="92"/>
    </row>
    <row r="63" ht="12.75" customHeight="1">
      <c r="A63" s="95"/>
      <c r="B63" s="98"/>
      <c r="C63" s="73"/>
      <c r="D63" s="73"/>
      <c r="E63" s="98"/>
      <c r="F63" s="101"/>
      <c r="G63" s="92"/>
    </row>
    <row r="64" ht="12.75" customHeight="1">
      <c r="A64" s="95"/>
      <c r="B64" s="98"/>
      <c r="C64" s="73"/>
      <c r="D64" s="73"/>
      <c r="E64" s="98"/>
      <c r="F64" s="101"/>
      <c r="G64" s="92"/>
    </row>
    <row r="65" ht="12.75" customHeight="1">
      <c r="A65" s="95"/>
      <c r="B65" s="98"/>
      <c r="C65" s="73"/>
      <c r="D65" s="73"/>
      <c r="E65" s="98"/>
      <c r="F65" s="101"/>
      <c r="G65" s="92"/>
    </row>
    <row r="66" ht="12.75" customHeight="1">
      <c r="A66" s="99"/>
      <c r="B66" s="98"/>
      <c r="C66" s="73"/>
      <c r="D66" s="73"/>
      <c r="E66" s="98"/>
      <c r="F66" s="101"/>
      <c r="G66" s="92"/>
    </row>
    <row r="67" ht="12.75" customHeight="1">
      <c r="A67" s="97"/>
      <c r="B67" s="98"/>
      <c r="C67" s="73"/>
      <c r="D67" s="73"/>
      <c r="E67" s="98"/>
      <c r="F67" s="101"/>
      <c r="G67" s="92"/>
    </row>
    <row r="68" ht="12.75" customHeight="1">
      <c r="A68" s="95"/>
      <c r="B68" s="98"/>
      <c r="C68" s="73"/>
      <c r="D68" s="73"/>
      <c r="E68" s="98"/>
      <c r="F68" s="101"/>
      <c r="G68" s="92"/>
    </row>
    <row r="69" ht="12.75" customHeight="1">
      <c r="A69" s="95"/>
      <c r="B69" s="98"/>
      <c r="C69" s="73"/>
      <c r="D69" s="73"/>
      <c r="E69" s="98"/>
      <c r="F69" s="101"/>
      <c r="G69" s="92"/>
    </row>
    <row r="70" ht="12.75" customHeight="1">
      <c r="A70" s="95"/>
      <c r="B70" s="98"/>
      <c r="C70" s="73"/>
      <c r="D70" s="73"/>
      <c r="E70" s="98"/>
      <c r="F70" s="101"/>
      <c r="G70" s="92"/>
    </row>
    <row r="71" ht="12.75" customHeight="1">
      <c r="A71" s="95"/>
      <c r="B71" s="98"/>
      <c r="C71" s="73"/>
      <c r="D71" s="73"/>
      <c r="E71" s="98"/>
      <c r="F71" s="101"/>
      <c r="G71" s="92"/>
    </row>
    <row r="72" ht="12.75" customHeight="1">
      <c r="A72" s="95"/>
      <c r="B72" s="98"/>
      <c r="C72" s="73"/>
      <c r="D72" s="73"/>
      <c r="E72" s="98"/>
      <c r="F72" s="101"/>
      <c r="G72" s="92"/>
    </row>
    <row r="73" ht="12.75" customHeight="1">
      <c r="A73" s="95"/>
      <c r="B73" s="98"/>
      <c r="C73" s="73"/>
      <c r="D73" s="73"/>
      <c r="E73" s="98"/>
      <c r="F73" s="101"/>
      <c r="G73" s="92"/>
    </row>
    <row r="74" ht="12.75" customHeight="1">
      <c r="A74" s="95"/>
      <c r="B74" s="98"/>
      <c r="C74" s="73"/>
      <c r="D74" s="73"/>
      <c r="E74" s="98"/>
      <c r="F74" s="101"/>
      <c r="G74" s="92"/>
    </row>
    <row r="75" ht="12.75" customHeight="1">
      <c r="A75" s="95"/>
      <c r="B75" s="98"/>
      <c r="C75" s="73"/>
      <c r="D75" s="73"/>
      <c r="E75" s="98"/>
      <c r="F75" s="101"/>
      <c r="G75" s="92"/>
    </row>
    <row r="76" ht="12.75" customHeight="1">
      <c r="A76" s="95"/>
      <c r="B76" s="98"/>
      <c r="C76" s="73"/>
      <c r="D76" s="73"/>
      <c r="E76" s="98"/>
      <c r="F76" s="101"/>
      <c r="G76" s="92"/>
    </row>
    <row r="77" ht="12.75" customHeight="1">
      <c r="A77" s="95"/>
      <c r="B77" s="98"/>
      <c r="C77" s="73"/>
      <c r="D77" s="73"/>
      <c r="E77" s="98"/>
      <c r="F77" s="101"/>
      <c r="G77" s="92"/>
    </row>
    <row r="78" ht="12.75" customHeight="1">
      <c r="A78" s="95"/>
      <c r="B78" s="98"/>
      <c r="C78" s="73"/>
      <c r="D78" s="73"/>
      <c r="E78" s="98"/>
      <c r="F78" s="101"/>
      <c r="G78" s="92"/>
    </row>
    <row r="79" ht="12.75" customHeight="1">
      <c r="A79" s="95"/>
      <c r="B79" s="98"/>
      <c r="C79" s="73"/>
      <c r="D79" s="73"/>
      <c r="E79" s="98"/>
      <c r="F79" s="101"/>
      <c r="G79" s="92"/>
    </row>
    <row r="80" ht="12.75" customHeight="1">
      <c r="A80" s="95"/>
      <c r="B80" s="98"/>
      <c r="C80" s="73"/>
      <c r="D80" s="73"/>
      <c r="E80" s="98"/>
      <c r="F80" s="101"/>
      <c r="G80" s="92"/>
    </row>
    <row r="81" ht="12.75" customHeight="1">
      <c r="A81" s="95"/>
      <c r="B81" s="98"/>
      <c r="C81" s="73"/>
      <c r="D81" s="73"/>
      <c r="E81" s="98"/>
      <c r="F81" s="101"/>
      <c r="G81" s="92"/>
    </row>
    <row r="82" ht="12.75" customHeight="1">
      <c r="A82" s="95"/>
      <c r="B82" s="98"/>
      <c r="C82" s="73"/>
      <c r="D82" s="73"/>
      <c r="E82" s="98"/>
      <c r="F82" s="101"/>
      <c r="G82" s="92"/>
    </row>
    <row r="83" ht="12.75" customHeight="1">
      <c r="A83" s="95"/>
      <c r="B83" s="98"/>
      <c r="C83" s="73"/>
      <c r="D83" s="73"/>
      <c r="E83" s="98"/>
      <c r="F83" s="101"/>
      <c r="G83" s="92"/>
    </row>
    <row r="84" ht="12.75" customHeight="1">
      <c r="A84" s="95"/>
      <c r="B84" s="98"/>
      <c r="C84" s="73"/>
      <c r="D84" s="73"/>
      <c r="E84" s="98"/>
      <c r="F84" s="101"/>
      <c r="G84" s="92"/>
    </row>
    <row r="85" ht="12.75" customHeight="1">
      <c r="A85" s="95"/>
      <c r="B85" s="98"/>
      <c r="C85" s="73"/>
      <c r="D85" s="73"/>
      <c r="E85" s="98"/>
      <c r="F85" s="101"/>
      <c r="G85" s="92"/>
    </row>
    <row r="86" ht="12.75" customHeight="1">
      <c r="A86" s="95"/>
      <c r="B86" s="98"/>
      <c r="C86" s="73"/>
      <c r="D86" s="73"/>
      <c r="E86" s="98"/>
      <c r="F86" s="101"/>
      <c r="G86" s="92"/>
    </row>
    <row r="87" ht="12.75" customHeight="1">
      <c r="A87" s="95"/>
      <c r="B87" s="98"/>
      <c r="C87" s="73"/>
      <c r="D87" s="73"/>
      <c r="E87" s="98"/>
      <c r="F87" s="101"/>
      <c r="G87" s="92"/>
    </row>
    <row r="88" ht="12.75" customHeight="1">
      <c r="A88" s="95"/>
      <c r="B88" s="98"/>
      <c r="C88" s="73"/>
      <c r="D88" s="73"/>
      <c r="E88" s="98"/>
      <c r="F88" s="101"/>
      <c r="G88" s="92"/>
    </row>
    <row r="89" ht="12.75" customHeight="1">
      <c r="A89" s="95"/>
      <c r="B89" s="98"/>
      <c r="C89" s="73"/>
      <c r="D89" s="73"/>
      <c r="E89" s="98"/>
      <c r="F89" s="101"/>
      <c r="G89" s="92"/>
    </row>
    <row r="90" ht="12.75" customHeight="1">
      <c r="A90" s="95"/>
      <c r="B90" s="98"/>
      <c r="C90" s="73"/>
      <c r="D90" s="73"/>
      <c r="E90" s="98"/>
      <c r="F90" s="101"/>
      <c r="G90" s="92"/>
    </row>
    <row r="91" ht="12.75" customHeight="1">
      <c r="A91" s="95"/>
      <c r="B91" s="98"/>
      <c r="C91" s="73"/>
      <c r="D91" s="73"/>
      <c r="E91" s="98"/>
      <c r="F91" s="101"/>
      <c r="G91" s="92"/>
    </row>
    <row r="92" ht="12.75" customHeight="1">
      <c r="A92" s="95"/>
      <c r="B92" s="98"/>
      <c r="C92" s="73"/>
      <c r="D92" s="73"/>
      <c r="E92" s="98"/>
      <c r="F92" s="101"/>
      <c r="G92" s="92"/>
    </row>
    <row r="93" ht="12.75" customHeight="1">
      <c r="A93" s="95"/>
      <c r="B93" s="98"/>
      <c r="C93" s="73"/>
      <c r="D93" s="73"/>
      <c r="E93" s="98"/>
      <c r="F93" s="101"/>
      <c r="G93" s="92"/>
    </row>
    <row r="94" ht="12.75" customHeight="1">
      <c r="A94" s="95"/>
      <c r="B94" s="98"/>
      <c r="C94" s="73"/>
      <c r="D94" s="73"/>
      <c r="E94" s="98"/>
      <c r="F94" s="101"/>
      <c r="G94" s="92"/>
    </row>
    <row r="95" ht="12.75" customHeight="1">
      <c r="A95" s="95"/>
      <c r="B95" s="98"/>
      <c r="C95" s="73"/>
      <c r="D95" s="73"/>
      <c r="E95" s="98"/>
      <c r="F95" s="101"/>
      <c r="G95" s="92"/>
    </row>
    <row r="96" ht="12.75" customHeight="1">
      <c r="A96" s="95"/>
      <c r="B96" s="98"/>
      <c r="C96" s="73"/>
      <c r="D96" s="73"/>
      <c r="E96" s="98"/>
      <c r="F96" s="101"/>
      <c r="G96" s="92"/>
    </row>
    <row r="97" ht="12.75" customHeight="1">
      <c r="A97" s="95"/>
      <c r="B97" s="98"/>
      <c r="C97" s="73"/>
      <c r="D97" s="73"/>
      <c r="E97" s="98"/>
      <c r="F97" s="101"/>
      <c r="G97" s="92"/>
    </row>
    <row r="98" ht="12.75" customHeight="1">
      <c r="A98" s="95"/>
      <c r="B98" s="98"/>
      <c r="C98" s="73"/>
      <c r="D98" s="73"/>
      <c r="E98" s="98"/>
      <c r="F98" s="101"/>
      <c r="G98" s="92"/>
    </row>
    <row r="99" ht="12.75" customHeight="1">
      <c r="A99" s="95"/>
      <c r="B99" s="98"/>
      <c r="C99" s="73"/>
      <c r="D99" s="73"/>
      <c r="E99" s="98"/>
      <c r="F99" s="101"/>
      <c r="G99" s="92"/>
    </row>
    <row r="100" ht="12.75" customHeight="1">
      <c r="A100" s="95"/>
      <c r="B100" s="98"/>
      <c r="C100" s="73"/>
      <c r="D100" s="73"/>
      <c r="E100" s="98"/>
      <c r="F100" s="101"/>
      <c r="G100" s="92"/>
    </row>
    <row r="101" ht="12.75" customHeight="1">
      <c r="A101" s="95"/>
      <c r="B101" s="98"/>
      <c r="C101" s="73"/>
      <c r="D101" s="73"/>
      <c r="E101" s="98"/>
      <c r="F101" s="101"/>
      <c r="G101" s="92"/>
    </row>
    <row r="102" ht="12.75" customHeight="1">
      <c r="A102" s="95"/>
      <c r="B102" s="98"/>
      <c r="C102" s="73"/>
      <c r="D102" s="73"/>
      <c r="E102" s="98"/>
      <c r="F102" s="101"/>
      <c r="G102" s="92"/>
    </row>
    <row r="103" ht="12.75" customHeight="1">
      <c r="A103" s="95"/>
      <c r="B103" s="98"/>
      <c r="C103" s="73"/>
      <c r="D103" s="73"/>
      <c r="E103" s="98"/>
      <c r="F103" s="101"/>
      <c r="G103" s="92"/>
    </row>
    <row r="104" ht="12.75" customHeight="1">
      <c r="A104" s="95"/>
      <c r="B104" s="98"/>
      <c r="C104" s="73"/>
      <c r="D104" s="73"/>
      <c r="E104" s="98"/>
      <c r="F104" s="101"/>
      <c r="G104" s="92"/>
    </row>
    <row r="105" ht="12.75" customHeight="1">
      <c r="A105" s="95"/>
      <c r="B105" s="98"/>
      <c r="C105" s="73"/>
      <c r="D105" s="73"/>
      <c r="E105" s="98"/>
      <c r="F105" s="101"/>
      <c r="G105" s="92"/>
    </row>
    <row r="106" ht="12.75" customHeight="1">
      <c r="A106" s="95"/>
      <c r="B106" s="98"/>
      <c r="C106" s="73"/>
      <c r="D106" s="73"/>
      <c r="E106" s="98"/>
      <c r="F106" s="101"/>
      <c r="G106" s="92"/>
    </row>
    <row r="107" ht="12.75" customHeight="1">
      <c r="A107" s="95"/>
      <c r="B107" s="98"/>
      <c r="C107" s="73"/>
      <c r="D107" s="73"/>
      <c r="E107" s="98"/>
      <c r="F107" s="101"/>
      <c r="G107" s="92"/>
    </row>
    <row r="108" ht="12.75" customHeight="1">
      <c r="A108" s="95"/>
      <c r="B108" s="98"/>
      <c r="C108" s="73"/>
      <c r="D108" s="73"/>
      <c r="E108" s="98"/>
      <c r="F108" s="101"/>
      <c r="G108" s="92"/>
    </row>
    <row r="109" ht="12.75" customHeight="1">
      <c r="A109" s="95"/>
      <c r="B109" s="98"/>
      <c r="C109" s="73"/>
      <c r="D109" s="73"/>
      <c r="E109" s="98"/>
      <c r="F109" s="101"/>
      <c r="G109" s="92"/>
    </row>
    <row r="110" ht="12.75" customHeight="1">
      <c r="A110" s="95"/>
      <c r="B110" s="98"/>
      <c r="C110" s="73"/>
      <c r="D110" s="73"/>
      <c r="E110" s="98"/>
      <c r="F110" s="101"/>
      <c r="G110" s="92"/>
    </row>
    <row r="111" ht="12.75" customHeight="1">
      <c r="A111" s="95"/>
      <c r="B111" s="98"/>
      <c r="C111" s="73"/>
      <c r="D111" s="73"/>
      <c r="E111" s="98"/>
      <c r="F111" s="101"/>
      <c r="G111" s="92"/>
    </row>
    <row r="112" ht="12.75" customHeight="1">
      <c r="A112" s="95"/>
      <c r="B112" s="98"/>
      <c r="C112" s="73"/>
      <c r="D112" s="73"/>
      <c r="E112" s="98"/>
      <c r="F112" s="101"/>
      <c r="G112" s="92"/>
    </row>
    <row r="113" ht="12.75" customHeight="1">
      <c r="A113" s="95"/>
      <c r="B113" s="98"/>
      <c r="C113" s="73"/>
      <c r="D113" s="73"/>
      <c r="E113" s="98"/>
      <c r="F113" s="101"/>
      <c r="G113" s="92"/>
    </row>
    <row r="114" ht="12.75" customHeight="1">
      <c r="A114" s="95"/>
      <c r="B114" s="98"/>
      <c r="C114" s="73"/>
      <c r="D114" s="73"/>
      <c r="E114" s="98"/>
      <c r="F114" s="101"/>
      <c r="G114" s="92"/>
    </row>
    <row r="115" ht="12.75" customHeight="1">
      <c r="A115" s="95"/>
      <c r="B115" s="98"/>
      <c r="C115" s="73"/>
      <c r="D115" s="73"/>
      <c r="E115" s="98"/>
      <c r="F115" s="101"/>
      <c r="G115" s="92"/>
    </row>
    <row r="116" ht="12.75" customHeight="1">
      <c r="A116" s="95"/>
      <c r="B116" s="98"/>
      <c r="C116" s="73"/>
      <c r="D116" s="73"/>
      <c r="E116" s="98"/>
      <c r="F116" s="101"/>
      <c r="G116" s="92"/>
    </row>
    <row r="117" ht="12.75" customHeight="1">
      <c r="A117" s="95"/>
      <c r="B117" s="98"/>
      <c r="C117" s="73"/>
      <c r="D117" s="73"/>
      <c r="E117" s="98"/>
      <c r="F117" s="101"/>
      <c r="G117" s="92"/>
    </row>
    <row r="118" ht="12.75" customHeight="1">
      <c r="A118" s="95"/>
      <c r="B118" s="98"/>
      <c r="C118" s="73"/>
      <c r="D118" s="73"/>
      <c r="E118" s="98"/>
      <c r="F118" s="101"/>
      <c r="G118" s="92"/>
    </row>
    <row r="119" ht="12.75" customHeight="1">
      <c r="A119" s="95"/>
      <c r="B119" s="98"/>
      <c r="C119" s="73"/>
      <c r="D119" s="73"/>
      <c r="E119" s="98"/>
      <c r="F119" s="101"/>
      <c r="G119" s="92"/>
    </row>
    <row r="120" ht="12.75" customHeight="1">
      <c r="A120" s="95"/>
      <c r="B120" s="98"/>
      <c r="C120" s="73"/>
      <c r="D120" s="73"/>
      <c r="E120" s="98"/>
      <c r="F120" s="101"/>
      <c r="G120" s="92"/>
    </row>
    <row r="121" ht="12.75" customHeight="1">
      <c r="A121" s="95"/>
      <c r="B121" s="98"/>
      <c r="C121" s="73"/>
      <c r="D121" s="73"/>
      <c r="E121" s="98"/>
      <c r="F121" s="101"/>
      <c r="G121" s="92"/>
    </row>
    <row r="122" ht="12.75" customHeight="1">
      <c r="A122" s="95"/>
      <c r="B122" s="98"/>
      <c r="C122" s="73"/>
      <c r="D122" s="73"/>
      <c r="E122" s="98"/>
      <c r="F122" s="101"/>
      <c r="G122" s="92"/>
    </row>
    <row r="123" ht="12.75" customHeight="1">
      <c r="A123" s="95"/>
      <c r="B123" s="98"/>
      <c r="C123" s="73"/>
      <c r="D123" s="73"/>
      <c r="E123" s="98"/>
      <c r="F123" s="101"/>
      <c r="G123" s="92"/>
    </row>
    <row r="124" ht="12.75" customHeight="1">
      <c r="A124" s="95"/>
      <c r="B124" s="98"/>
      <c r="C124" s="73"/>
      <c r="D124" s="73"/>
      <c r="E124" s="98"/>
      <c r="F124" s="101"/>
      <c r="G124" s="92"/>
    </row>
    <row r="125" ht="12.75" customHeight="1">
      <c r="A125" s="95"/>
      <c r="B125" s="98"/>
      <c r="C125" s="73"/>
      <c r="D125" s="73"/>
      <c r="E125" s="98"/>
      <c r="F125" s="101"/>
      <c r="G125" s="92"/>
    </row>
    <row r="126" ht="12.75" customHeight="1">
      <c r="A126" s="95"/>
      <c r="B126" s="98"/>
      <c r="C126" s="73"/>
      <c r="D126" s="73"/>
      <c r="E126" s="98"/>
      <c r="F126" s="101"/>
      <c r="G126" s="92"/>
    </row>
    <row r="127" ht="12.75" customHeight="1">
      <c r="A127" s="95"/>
      <c r="B127" s="98"/>
      <c r="C127" s="73"/>
      <c r="D127" s="73"/>
      <c r="E127" s="98"/>
      <c r="F127" s="101"/>
      <c r="G127" s="92"/>
    </row>
    <row r="128" ht="12.75" customHeight="1">
      <c r="A128" s="95"/>
      <c r="B128" s="98"/>
      <c r="C128" s="73"/>
      <c r="D128" s="73"/>
      <c r="E128" s="98"/>
      <c r="F128" s="101"/>
      <c r="G128" s="92"/>
    </row>
    <row r="129" ht="12.75" customHeight="1">
      <c r="A129" s="95"/>
      <c r="B129" s="98"/>
      <c r="C129" s="73"/>
      <c r="D129" s="73"/>
      <c r="E129" s="98"/>
      <c r="F129" s="101"/>
      <c r="G129" s="92"/>
    </row>
    <row r="130" ht="12.75" customHeight="1">
      <c r="A130" s="95"/>
      <c r="B130" s="98"/>
      <c r="C130" s="73"/>
      <c r="D130" s="73"/>
      <c r="E130" s="98"/>
      <c r="F130" s="101"/>
      <c r="G130" s="92"/>
    </row>
    <row r="131" ht="12.75" customHeight="1">
      <c r="A131" s="95"/>
      <c r="B131" s="98"/>
      <c r="C131" s="73"/>
      <c r="D131" s="73"/>
      <c r="E131" s="98"/>
      <c r="F131" s="101"/>
      <c r="G131" s="92"/>
    </row>
    <row r="132" ht="12.75" customHeight="1">
      <c r="A132" s="95"/>
      <c r="B132" s="98"/>
      <c r="C132" s="73"/>
      <c r="D132" s="73"/>
      <c r="E132" s="98"/>
      <c r="F132" s="101"/>
      <c r="G132" s="92"/>
    </row>
    <row r="133" ht="12.75" customHeight="1">
      <c r="A133" s="95"/>
      <c r="B133" s="98"/>
      <c r="C133" s="73"/>
      <c r="D133" s="73"/>
      <c r="E133" s="98"/>
      <c r="F133" s="101"/>
      <c r="G133" s="92"/>
    </row>
    <row r="134" ht="12.75" customHeight="1">
      <c r="A134" s="95"/>
      <c r="B134" s="98"/>
      <c r="C134" s="73"/>
      <c r="D134" s="73"/>
      <c r="E134" s="98"/>
      <c r="F134" s="101"/>
      <c r="G134" s="92"/>
    </row>
    <row r="135" ht="12.75" customHeight="1">
      <c r="A135" s="95"/>
      <c r="B135" s="98"/>
      <c r="C135" s="73"/>
      <c r="D135" s="73"/>
      <c r="E135" s="98"/>
      <c r="F135" s="101"/>
      <c r="G135" s="92"/>
    </row>
    <row r="136" ht="12.75" customHeight="1">
      <c r="A136" s="95"/>
      <c r="B136" s="98"/>
      <c r="C136" s="73"/>
      <c r="D136" s="73"/>
      <c r="E136" s="98"/>
      <c r="F136" s="101"/>
      <c r="G136" s="92"/>
    </row>
    <row r="137" ht="12.75" customHeight="1">
      <c r="A137" s="95"/>
      <c r="B137" s="98"/>
      <c r="C137" s="73"/>
      <c r="D137" s="73"/>
      <c r="E137" s="98"/>
      <c r="F137" s="101"/>
      <c r="G137" s="92"/>
    </row>
    <row r="138" ht="12.75" customHeight="1">
      <c r="A138" s="95"/>
      <c r="B138" s="98"/>
      <c r="C138" s="73"/>
      <c r="D138" s="73"/>
      <c r="E138" s="98"/>
      <c r="F138" s="101"/>
      <c r="G138" s="92"/>
    </row>
    <row r="139" ht="12.75" customHeight="1">
      <c r="A139" s="95"/>
      <c r="B139" s="98"/>
      <c r="C139" s="73"/>
      <c r="D139" s="73"/>
      <c r="E139" s="98"/>
      <c r="F139" s="101"/>
      <c r="G139" s="92"/>
    </row>
    <row r="140" ht="12.75" customHeight="1">
      <c r="A140" s="95"/>
      <c r="B140" s="98"/>
      <c r="C140" s="73"/>
      <c r="D140" s="73"/>
      <c r="E140" s="98"/>
      <c r="F140" s="101"/>
      <c r="G140" s="92"/>
    </row>
    <row r="141" ht="12.75" customHeight="1">
      <c r="A141" s="95"/>
      <c r="B141" s="98"/>
      <c r="C141" s="73"/>
      <c r="D141" s="73"/>
      <c r="E141" s="98"/>
      <c r="F141" s="101"/>
      <c r="G141" s="92"/>
    </row>
    <row r="142" ht="12.75" customHeight="1">
      <c r="A142" s="95"/>
      <c r="B142" s="98"/>
      <c r="C142" s="73"/>
      <c r="D142" s="73"/>
      <c r="E142" s="98"/>
      <c r="F142" s="101"/>
      <c r="G142" s="92"/>
    </row>
    <row r="143" ht="12.75" customHeight="1">
      <c r="A143" s="95"/>
      <c r="B143" s="98"/>
      <c r="C143" s="73"/>
      <c r="D143" s="73"/>
      <c r="E143" s="98"/>
      <c r="F143" s="101"/>
      <c r="G143" s="92"/>
    </row>
    <row r="144" ht="12.75" customHeight="1">
      <c r="A144" s="95"/>
      <c r="B144" s="98"/>
      <c r="C144" s="73"/>
      <c r="D144" s="73"/>
      <c r="E144" s="98"/>
      <c r="F144" s="101"/>
      <c r="G144" s="92"/>
    </row>
    <row r="145" ht="12.75" customHeight="1">
      <c r="A145" s="95"/>
      <c r="B145" s="98"/>
      <c r="C145" s="73"/>
      <c r="D145" s="73"/>
      <c r="E145" s="98"/>
      <c r="F145" s="101"/>
      <c r="G145" s="92"/>
    </row>
    <row r="146" ht="12.75" customHeight="1">
      <c r="A146" s="95"/>
      <c r="B146" s="98"/>
      <c r="C146" s="73"/>
      <c r="D146" s="73"/>
      <c r="E146" s="98"/>
      <c r="F146" s="101"/>
      <c r="G146" s="92"/>
    </row>
    <row r="147" ht="12.75" customHeight="1">
      <c r="A147" s="95"/>
      <c r="B147" s="98"/>
      <c r="C147" s="73"/>
      <c r="D147" s="73"/>
      <c r="E147" s="98"/>
      <c r="F147" s="101"/>
      <c r="G147" s="92"/>
    </row>
    <row r="148" ht="12.75" customHeight="1">
      <c r="A148" s="95"/>
      <c r="B148" s="98"/>
      <c r="C148" s="73"/>
      <c r="D148" s="73"/>
      <c r="E148" s="98"/>
      <c r="F148" s="101"/>
      <c r="G148" s="92"/>
    </row>
    <row r="149" ht="12.75" customHeight="1">
      <c r="A149" s="95"/>
      <c r="B149" s="98"/>
      <c r="C149" s="73"/>
      <c r="D149" s="73"/>
      <c r="E149" s="98"/>
      <c r="F149" s="101"/>
      <c r="G149" s="92"/>
    </row>
    <row r="150" ht="12.75" customHeight="1">
      <c r="A150" s="95"/>
      <c r="B150" s="98"/>
      <c r="C150" s="73"/>
      <c r="D150" s="73"/>
      <c r="E150" s="98"/>
      <c r="F150" s="101"/>
      <c r="G150" s="92"/>
    </row>
    <row r="151" ht="12.75" customHeight="1">
      <c r="A151" s="95"/>
      <c r="B151" s="98"/>
      <c r="C151" s="73"/>
      <c r="D151" s="73"/>
      <c r="E151" s="98"/>
      <c r="F151" s="101"/>
      <c r="G151" s="92"/>
    </row>
    <row r="152" ht="12.75" customHeight="1">
      <c r="A152" s="95"/>
      <c r="B152" s="98"/>
      <c r="C152" s="73"/>
      <c r="D152" s="73"/>
      <c r="E152" s="98"/>
      <c r="F152" s="101"/>
      <c r="G152" s="92"/>
    </row>
    <row r="153" ht="12.75" customHeight="1">
      <c r="A153" s="95"/>
      <c r="B153" s="98"/>
      <c r="C153" s="73"/>
      <c r="D153" s="73"/>
      <c r="E153" s="98"/>
      <c r="F153" s="101"/>
      <c r="G153" s="92"/>
    </row>
    <row r="154" ht="12.75" customHeight="1">
      <c r="A154" s="95"/>
      <c r="B154" s="98"/>
      <c r="C154" s="73"/>
      <c r="D154" s="73"/>
      <c r="E154" s="98"/>
      <c r="F154" s="101"/>
      <c r="G154" s="92"/>
    </row>
    <row r="155" ht="12.75" customHeight="1">
      <c r="A155" s="95"/>
      <c r="B155" s="98"/>
      <c r="C155" s="73"/>
      <c r="D155" s="73"/>
      <c r="E155" s="98"/>
      <c r="F155" s="101"/>
      <c r="G155" s="92"/>
    </row>
    <row r="156" ht="12.75" customHeight="1">
      <c r="A156" s="95"/>
      <c r="B156" s="98"/>
      <c r="C156" s="73"/>
      <c r="D156" s="73"/>
      <c r="E156" s="98"/>
      <c r="F156" s="101"/>
      <c r="G156" s="92"/>
    </row>
    <row r="157" ht="12.75" customHeight="1">
      <c r="A157" s="95"/>
      <c r="B157" s="98"/>
      <c r="C157" s="73"/>
      <c r="D157" s="73"/>
      <c r="E157" s="98"/>
      <c r="F157" s="101"/>
      <c r="G157" s="92"/>
    </row>
    <row r="158" ht="12.75" customHeight="1">
      <c r="A158" s="95"/>
      <c r="B158" s="98"/>
      <c r="C158" s="73"/>
      <c r="D158" s="73"/>
      <c r="E158" s="98"/>
      <c r="F158" s="101"/>
      <c r="G158" s="92"/>
    </row>
    <row r="159" ht="12.75" customHeight="1">
      <c r="A159" s="95"/>
      <c r="B159" s="98"/>
      <c r="C159" s="73"/>
      <c r="D159" s="73"/>
      <c r="E159" s="98"/>
      <c r="F159" s="101"/>
      <c r="G159" s="92"/>
    </row>
    <row r="160" ht="12.75" customHeight="1">
      <c r="A160" s="95"/>
      <c r="B160" s="98"/>
      <c r="C160" s="73"/>
      <c r="D160" s="73"/>
      <c r="E160" s="98"/>
      <c r="F160" s="101"/>
      <c r="G160" s="92"/>
    </row>
    <row r="161" ht="12.75" customHeight="1">
      <c r="A161" s="95"/>
      <c r="B161" s="98"/>
      <c r="C161" s="73"/>
      <c r="D161" s="73"/>
      <c r="E161" s="98"/>
      <c r="F161" s="101"/>
      <c r="G161" s="92"/>
    </row>
    <row r="162" ht="12.75" customHeight="1">
      <c r="A162" s="95"/>
      <c r="B162" s="98"/>
      <c r="C162" s="73"/>
      <c r="D162" s="73"/>
      <c r="E162" s="98"/>
      <c r="F162" s="101"/>
      <c r="G162" s="92"/>
    </row>
    <row r="163" ht="12.75" customHeight="1">
      <c r="A163" s="95"/>
      <c r="B163" s="98"/>
      <c r="C163" s="73"/>
      <c r="D163" s="73"/>
      <c r="E163" s="98"/>
      <c r="F163" s="101"/>
      <c r="G163" s="92"/>
    </row>
    <row r="164" ht="12.75" customHeight="1">
      <c r="A164" s="95"/>
      <c r="B164" s="98"/>
      <c r="C164" s="73"/>
      <c r="D164" s="73"/>
      <c r="E164" s="98"/>
      <c r="F164" s="101"/>
      <c r="G164" s="92"/>
    </row>
    <row r="165" ht="12.75" customHeight="1">
      <c r="A165" s="95"/>
      <c r="B165" s="98"/>
      <c r="C165" s="73"/>
      <c r="D165" s="73"/>
      <c r="E165" s="98"/>
      <c r="F165" s="101"/>
      <c r="G165" s="92"/>
    </row>
    <row r="166" ht="12.75" customHeight="1">
      <c r="A166" s="95"/>
      <c r="B166" s="98"/>
      <c r="C166" s="73"/>
      <c r="D166" s="73"/>
      <c r="E166" s="98"/>
      <c r="F166" s="101"/>
      <c r="G166" s="92"/>
    </row>
    <row r="167" ht="12.75" customHeight="1">
      <c r="A167" s="95"/>
      <c r="B167" s="98"/>
      <c r="C167" s="73"/>
      <c r="D167" s="73"/>
      <c r="E167" s="98"/>
      <c r="F167" s="101"/>
      <c r="G167" s="92"/>
    </row>
    <row r="168" ht="12.75" customHeight="1">
      <c r="A168" s="95"/>
      <c r="B168" s="98"/>
      <c r="C168" s="73"/>
      <c r="D168" s="73"/>
      <c r="E168" s="98"/>
      <c r="F168" s="101"/>
      <c r="G168" s="92"/>
    </row>
    <row r="169" ht="12.75" customHeight="1">
      <c r="A169" s="95"/>
      <c r="B169" s="98"/>
      <c r="C169" s="73"/>
      <c r="D169" s="73"/>
      <c r="E169" s="98"/>
      <c r="F169" s="101"/>
      <c r="G169" s="92"/>
    </row>
    <row r="170" ht="12.75" customHeight="1">
      <c r="A170" s="95"/>
      <c r="B170" s="98"/>
      <c r="C170" s="73"/>
      <c r="D170" s="73"/>
      <c r="E170" s="98"/>
      <c r="F170" s="101"/>
      <c r="G170" s="92"/>
    </row>
    <row r="171" ht="12.75" customHeight="1">
      <c r="A171" s="95"/>
      <c r="B171" s="98"/>
      <c r="C171" s="73"/>
      <c r="D171" s="73"/>
      <c r="E171" s="98"/>
      <c r="F171" s="101"/>
      <c r="G171" s="92"/>
    </row>
    <row r="172" ht="12.75" customHeight="1">
      <c r="A172" s="95"/>
      <c r="B172" s="98"/>
      <c r="C172" s="73"/>
      <c r="D172" s="73"/>
      <c r="E172" s="98"/>
      <c r="F172" s="101"/>
      <c r="G172" s="92"/>
    </row>
    <row r="173" ht="12.75" customHeight="1">
      <c r="A173" s="95"/>
      <c r="B173" s="98"/>
      <c r="C173" s="73"/>
      <c r="D173" s="73"/>
      <c r="E173" s="98"/>
      <c r="F173" s="101"/>
      <c r="G173" s="92"/>
    </row>
    <row r="174" ht="12.75" customHeight="1">
      <c r="A174" s="95"/>
      <c r="B174" s="98"/>
      <c r="C174" s="73"/>
      <c r="D174" s="73"/>
      <c r="E174" s="98"/>
      <c r="F174" s="101"/>
      <c r="G174" s="92"/>
    </row>
    <row r="175" ht="12.75" customHeight="1">
      <c r="A175" s="95"/>
      <c r="B175" s="98"/>
      <c r="C175" s="73"/>
      <c r="D175" s="73"/>
      <c r="E175" s="98"/>
      <c r="F175" s="101"/>
      <c r="G175" s="92"/>
    </row>
    <row r="176" ht="12.75" customHeight="1">
      <c r="A176" s="95"/>
      <c r="B176" s="98"/>
      <c r="C176" s="73"/>
      <c r="D176" s="73"/>
      <c r="E176" s="98"/>
      <c r="F176" s="101"/>
      <c r="G176" s="92"/>
    </row>
    <row r="177" ht="12.75" customHeight="1">
      <c r="A177" s="95"/>
      <c r="B177" s="98"/>
      <c r="C177" s="73"/>
      <c r="D177" s="73"/>
      <c r="E177" s="98"/>
      <c r="F177" s="101"/>
      <c r="G177" s="92"/>
    </row>
    <row r="178" ht="12.75" customHeight="1">
      <c r="A178" s="95"/>
      <c r="B178" s="98"/>
      <c r="C178" s="73"/>
      <c r="D178" s="73"/>
      <c r="E178" s="98"/>
      <c r="F178" s="101"/>
      <c r="G178" s="92"/>
    </row>
    <row r="179" ht="12.75" customHeight="1">
      <c r="A179" s="95"/>
      <c r="B179" s="98"/>
      <c r="C179" s="73"/>
      <c r="D179" s="73"/>
      <c r="E179" s="98"/>
      <c r="F179" s="101"/>
      <c r="G179" s="92"/>
    </row>
    <row r="180" ht="12.75" customHeight="1">
      <c r="A180" s="95"/>
      <c r="B180" s="98"/>
      <c r="C180" s="73"/>
      <c r="D180" s="73"/>
      <c r="E180" s="98"/>
      <c r="F180" s="101"/>
      <c r="G180" s="92"/>
    </row>
    <row r="181" ht="12.75" customHeight="1">
      <c r="A181" s="95"/>
      <c r="B181" s="98"/>
      <c r="C181" s="73"/>
      <c r="D181" s="73"/>
      <c r="E181" s="98"/>
      <c r="F181" s="101"/>
      <c r="G181" s="92"/>
    </row>
    <row r="182" ht="12.75" customHeight="1">
      <c r="A182" s="95"/>
      <c r="B182" s="98"/>
      <c r="C182" s="73"/>
      <c r="D182" s="73"/>
      <c r="E182" s="98"/>
      <c r="F182" s="101"/>
      <c r="G182" s="92"/>
    </row>
    <row r="183" ht="12.75" customHeight="1">
      <c r="A183" s="95"/>
      <c r="B183" s="98"/>
      <c r="C183" s="73"/>
      <c r="D183" s="73"/>
      <c r="E183" s="98"/>
      <c r="F183" s="101"/>
      <c r="G183" s="92"/>
    </row>
    <row r="184" ht="12.75" customHeight="1">
      <c r="A184" s="95"/>
      <c r="B184" s="98"/>
      <c r="C184" s="73"/>
      <c r="D184" s="73"/>
      <c r="E184" s="98"/>
      <c r="F184" s="101"/>
      <c r="G184" s="92"/>
    </row>
    <row r="185" ht="12.75" customHeight="1">
      <c r="A185" s="95"/>
      <c r="B185" s="98"/>
      <c r="C185" s="73"/>
      <c r="D185" s="73"/>
      <c r="E185" s="98"/>
      <c r="F185" s="101"/>
      <c r="G185" s="92"/>
    </row>
    <row r="186" ht="12.75" customHeight="1">
      <c r="A186" s="95"/>
      <c r="B186" s="98"/>
      <c r="C186" s="73"/>
      <c r="D186" s="73"/>
      <c r="E186" s="98"/>
      <c r="F186" s="101"/>
      <c r="G186" s="92"/>
    </row>
    <row r="187" ht="12.75" customHeight="1">
      <c r="A187" s="95"/>
      <c r="B187" s="98"/>
      <c r="C187" s="73"/>
      <c r="D187" s="73"/>
      <c r="E187" s="98"/>
      <c r="F187" s="101"/>
      <c r="G187" s="92"/>
    </row>
    <row r="188" ht="12.75" customHeight="1">
      <c r="A188" s="95"/>
      <c r="B188" s="98"/>
      <c r="C188" s="73"/>
      <c r="D188" s="73"/>
      <c r="E188" s="98"/>
      <c r="F188" s="101"/>
      <c r="G188" s="92"/>
    </row>
    <row r="189" ht="12.75" customHeight="1">
      <c r="A189" s="95"/>
      <c r="B189" s="98"/>
      <c r="C189" s="73"/>
      <c r="D189" s="73"/>
      <c r="E189" s="98"/>
      <c r="F189" s="101"/>
      <c r="G189" s="92"/>
    </row>
    <row r="190" ht="12.75" customHeight="1">
      <c r="A190" s="95"/>
      <c r="B190" s="98"/>
      <c r="C190" s="73"/>
      <c r="D190" s="73"/>
      <c r="E190" s="98"/>
      <c r="F190" s="101"/>
      <c r="G190" s="92"/>
    </row>
    <row r="191" ht="12.75" customHeight="1">
      <c r="A191" s="95"/>
      <c r="B191" s="98"/>
      <c r="C191" s="73"/>
      <c r="D191" s="73"/>
      <c r="E191" s="98"/>
      <c r="F191" s="101"/>
      <c r="G191" s="92"/>
    </row>
    <row r="192" ht="12.75" customHeight="1">
      <c r="A192" s="95"/>
      <c r="B192" s="98"/>
      <c r="C192" s="73"/>
      <c r="D192" s="73"/>
      <c r="E192" s="98"/>
      <c r="F192" s="101"/>
      <c r="G192" s="92"/>
    </row>
    <row r="193" ht="12.75" customHeight="1">
      <c r="A193" s="95"/>
      <c r="B193" s="98"/>
      <c r="C193" s="73"/>
      <c r="D193" s="73"/>
      <c r="E193" s="98"/>
      <c r="F193" s="101"/>
      <c r="G193" s="92"/>
    </row>
    <row r="194" ht="12.75" customHeight="1">
      <c r="A194" s="95"/>
      <c r="B194" s="98"/>
      <c r="C194" s="73"/>
      <c r="D194" s="73"/>
      <c r="E194" s="98"/>
      <c r="F194" s="101"/>
      <c r="G194" s="92"/>
    </row>
    <row r="195" ht="12.75" customHeight="1">
      <c r="A195" s="95"/>
      <c r="B195" s="98"/>
      <c r="C195" s="73"/>
      <c r="D195" s="73"/>
      <c r="E195" s="98"/>
      <c r="F195" s="101"/>
      <c r="G195" s="92"/>
    </row>
    <row r="196" ht="12.75" customHeight="1">
      <c r="A196" s="95"/>
      <c r="B196" s="98"/>
      <c r="C196" s="73"/>
      <c r="D196" s="73"/>
      <c r="E196" s="98"/>
      <c r="F196" s="101"/>
      <c r="G196" s="92"/>
    </row>
    <row r="197" ht="12.75" customHeight="1">
      <c r="A197" s="95"/>
      <c r="B197" s="98"/>
      <c r="C197" s="73"/>
      <c r="D197" s="73"/>
      <c r="E197" s="98"/>
      <c r="F197" s="101"/>
      <c r="G197" s="92"/>
    </row>
    <row r="198" ht="12.75" customHeight="1">
      <c r="A198" s="95"/>
      <c r="B198" s="98"/>
      <c r="C198" s="73"/>
      <c r="D198" s="73"/>
      <c r="E198" s="98"/>
      <c r="F198" s="101"/>
      <c r="G198" s="92"/>
    </row>
    <row r="199" ht="12.75" customHeight="1">
      <c r="A199" s="95"/>
      <c r="B199" s="98"/>
      <c r="C199" s="73"/>
      <c r="D199" s="73"/>
      <c r="E199" s="98"/>
      <c r="F199" s="101"/>
      <c r="G199" s="92"/>
    </row>
    <row r="200" ht="12.75" customHeight="1">
      <c r="A200" s="95"/>
      <c r="B200" s="98"/>
      <c r="C200" s="73"/>
      <c r="D200" s="73"/>
      <c r="E200" s="98"/>
      <c r="F200" s="101"/>
      <c r="G200" s="92"/>
    </row>
    <row r="201" ht="12.75" customHeight="1">
      <c r="A201" s="95"/>
      <c r="B201" s="98"/>
      <c r="C201" s="73"/>
      <c r="D201" s="73"/>
      <c r="E201" s="98"/>
      <c r="F201" s="101"/>
      <c r="G201" s="92"/>
    </row>
    <row r="202" ht="12.75" customHeight="1">
      <c r="A202" s="95"/>
      <c r="B202" s="98"/>
      <c r="C202" s="73"/>
      <c r="D202" s="73"/>
      <c r="E202" s="98"/>
      <c r="F202" s="101"/>
      <c r="G202" s="92"/>
    </row>
    <row r="203" ht="12.75" customHeight="1">
      <c r="A203" s="95"/>
      <c r="B203" s="98"/>
      <c r="C203" s="73"/>
      <c r="D203" s="73"/>
      <c r="E203" s="98"/>
      <c r="F203" s="101"/>
      <c r="G203" s="92"/>
    </row>
    <row r="204" ht="12.75" customHeight="1">
      <c r="A204" s="95"/>
      <c r="B204" s="98"/>
      <c r="C204" s="73"/>
      <c r="D204" s="73"/>
      <c r="E204" s="98"/>
      <c r="F204" s="101"/>
      <c r="G204" s="92"/>
    </row>
    <row r="205" ht="12.75" customHeight="1">
      <c r="A205" s="95"/>
      <c r="B205" s="98"/>
      <c r="C205" s="73"/>
      <c r="D205" s="73"/>
      <c r="E205" s="98"/>
      <c r="F205" s="101"/>
      <c r="G205" s="92"/>
    </row>
    <row r="206" ht="12.75" customHeight="1">
      <c r="A206" s="95"/>
      <c r="B206" s="98"/>
      <c r="C206" s="73"/>
      <c r="D206" s="73"/>
      <c r="E206" s="98"/>
      <c r="F206" s="101"/>
      <c r="G206" s="92"/>
    </row>
    <row r="207" ht="12.75" customHeight="1">
      <c r="A207" s="95"/>
      <c r="B207" s="98"/>
      <c r="C207" s="73"/>
      <c r="D207" s="73"/>
      <c r="E207" s="98"/>
      <c r="F207" s="101"/>
      <c r="G207" s="92"/>
    </row>
    <row r="208" ht="12.75" customHeight="1">
      <c r="A208" s="95"/>
      <c r="B208" s="98"/>
      <c r="C208" s="73"/>
      <c r="D208" s="73"/>
      <c r="E208" s="98"/>
      <c r="F208" s="101"/>
      <c r="G208" s="92"/>
    </row>
    <row r="209" ht="12.75" customHeight="1">
      <c r="A209" s="95"/>
      <c r="B209" s="98"/>
      <c r="C209" s="73"/>
      <c r="D209" s="73"/>
      <c r="E209" s="98"/>
      <c r="F209" s="101"/>
      <c r="G209" s="92"/>
    </row>
    <row r="210" ht="12.75" customHeight="1">
      <c r="A210" s="95"/>
      <c r="B210" s="98"/>
      <c r="C210" s="73"/>
      <c r="D210" s="73"/>
      <c r="E210" s="98"/>
      <c r="F210" s="101"/>
      <c r="G210" s="92"/>
    </row>
    <row r="211" ht="12.75" customHeight="1">
      <c r="A211" s="95"/>
      <c r="B211" s="98"/>
      <c r="C211" s="73"/>
      <c r="D211" s="73"/>
      <c r="E211" s="98"/>
      <c r="F211" s="101"/>
      <c r="G211" s="92"/>
    </row>
    <row r="212" ht="12.75" customHeight="1">
      <c r="A212" s="95"/>
      <c r="B212" s="98"/>
      <c r="C212" s="73"/>
      <c r="D212" s="73"/>
      <c r="E212" s="98"/>
      <c r="F212" s="101"/>
      <c r="G212" s="92"/>
    </row>
    <row r="213" ht="12.75" customHeight="1">
      <c r="A213" s="95"/>
      <c r="B213" s="98"/>
      <c r="C213" s="73"/>
      <c r="D213" s="73"/>
      <c r="E213" s="98"/>
      <c r="F213" s="101"/>
      <c r="G213" s="92"/>
    </row>
    <row r="214" ht="12.75" customHeight="1">
      <c r="A214" s="95"/>
      <c r="B214" s="98"/>
      <c r="C214" s="73"/>
      <c r="D214" s="73"/>
      <c r="E214" s="98"/>
      <c r="F214" s="101"/>
      <c r="G214" s="92"/>
    </row>
    <row r="215" ht="12.75" customHeight="1">
      <c r="A215" s="95"/>
      <c r="B215" s="98"/>
      <c r="C215" s="73"/>
      <c r="D215" s="73"/>
      <c r="E215" s="98"/>
      <c r="F215" s="101"/>
      <c r="G215" s="92"/>
    </row>
    <row r="216" ht="12.75" customHeight="1">
      <c r="A216" s="95"/>
      <c r="B216" s="98"/>
      <c r="C216" s="73"/>
      <c r="D216" s="73"/>
      <c r="E216" s="98"/>
      <c r="F216" s="101"/>
      <c r="G216" s="92"/>
    </row>
    <row r="217" ht="12.75" customHeight="1">
      <c r="A217" s="95"/>
      <c r="B217" s="98"/>
      <c r="C217" s="73"/>
      <c r="D217" s="73"/>
      <c r="E217" s="98"/>
      <c r="F217" s="101"/>
      <c r="G217" s="92"/>
    </row>
    <row r="218" ht="12.75" customHeight="1">
      <c r="A218" s="95"/>
      <c r="B218" s="98"/>
      <c r="C218" s="73"/>
      <c r="D218" s="73"/>
      <c r="E218" s="98"/>
      <c r="F218" s="101"/>
      <c r="G218" s="92"/>
    </row>
    <row r="219" ht="12.75" customHeight="1">
      <c r="A219" s="95"/>
      <c r="B219" s="98"/>
      <c r="C219" s="73"/>
      <c r="D219" s="73"/>
      <c r="E219" s="98"/>
      <c r="F219" s="101"/>
      <c r="G219" s="92"/>
    </row>
    <row r="220" ht="12.75" customHeight="1">
      <c r="A220" s="95"/>
      <c r="B220" s="98"/>
      <c r="C220" s="73"/>
      <c r="D220" s="73"/>
      <c r="E220" s="98"/>
      <c r="F220" s="101"/>
      <c r="G220" s="92"/>
    </row>
    <row r="221" ht="12.75" customHeight="1">
      <c r="A221" s="95"/>
      <c r="B221" s="98"/>
      <c r="C221" s="73"/>
      <c r="D221" s="73"/>
      <c r="E221" s="98"/>
      <c r="F221" s="101"/>
      <c r="G221" s="92"/>
    </row>
    <row r="222" ht="12.75" customHeight="1">
      <c r="A222" s="95"/>
      <c r="B222" s="98"/>
      <c r="C222" s="73"/>
      <c r="D222" s="73"/>
      <c r="E222" s="98"/>
      <c r="F222" s="101"/>
      <c r="G222" s="92"/>
    </row>
    <row r="223" ht="12.75" customHeight="1">
      <c r="A223" s="95"/>
      <c r="B223" s="98"/>
      <c r="C223" s="73"/>
      <c r="D223" s="73"/>
      <c r="E223" s="98"/>
      <c r="F223" s="101"/>
      <c r="G223" s="92"/>
    </row>
    <row r="224" ht="12.75" customHeight="1">
      <c r="A224" s="100"/>
      <c r="B224" s="131"/>
      <c r="C224" s="93"/>
      <c r="D224" s="100"/>
      <c r="E224" s="129"/>
      <c r="F224" s="101"/>
      <c r="G224" s="100"/>
    </row>
    <row r="225" ht="12.75" customHeight="1">
      <c r="A225" s="100"/>
      <c r="B225" s="131"/>
      <c r="C225" s="93"/>
      <c r="D225" s="100"/>
      <c r="E225" s="129"/>
      <c r="F225" s="101"/>
      <c r="G225" s="100"/>
    </row>
    <row r="226" ht="12.75" customHeight="1">
      <c r="A226" s="100"/>
      <c r="B226" s="131"/>
      <c r="C226" s="93"/>
      <c r="D226" s="100"/>
      <c r="E226" s="129"/>
      <c r="F226" s="101"/>
      <c r="G226" s="100"/>
    </row>
    <row r="227" ht="12.75" customHeight="1">
      <c r="A227" s="100"/>
      <c r="B227" s="131"/>
      <c r="C227" s="93"/>
      <c r="D227" s="100"/>
      <c r="E227" s="129"/>
      <c r="F227" s="101"/>
      <c r="G227" s="100"/>
    </row>
    <row r="228" ht="12.75" customHeight="1">
      <c r="A228" s="100"/>
      <c r="B228" s="131"/>
      <c r="C228" s="93"/>
      <c r="D228" s="100"/>
      <c r="E228" s="129"/>
      <c r="F228" s="101"/>
      <c r="G228" s="100"/>
    </row>
    <row r="229" ht="12.75" customHeight="1">
      <c r="A229" s="100"/>
      <c r="B229" s="131"/>
      <c r="C229" s="93"/>
      <c r="D229" s="100"/>
      <c r="E229" s="129"/>
      <c r="F229" s="101"/>
      <c r="G229" s="100"/>
    </row>
    <row r="230" ht="12.75" customHeight="1">
      <c r="A230" s="100"/>
      <c r="B230" s="131"/>
      <c r="C230" s="93"/>
      <c r="D230" s="100"/>
      <c r="E230" s="129"/>
      <c r="F230" s="101"/>
      <c r="G230" s="100"/>
    </row>
    <row r="231" ht="12.75" customHeight="1">
      <c r="A231" s="100"/>
      <c r="B231" s="131"/>
      <c r="C231" s="93"/>
      <c r="D231" s="100"/>
      <c r="E231" s="129"/>
      <c r="F231" s="101"/>
      <c r="G231" s="100"/>
    </row>
    <row r="232" ht="12.75" customHeight="1">
      <c r="A232" s="100"/>
      <c r="B232" s="131"/>
      <c r="C232" s="93"/>
      <c r="D232" s="100"/>
      <c r="E232" s="129"/>
      <c r="F232" s="101"/>
      <c r="G232" s="100"/>
    </row>
    <row r="233" ht="12.75" customHeight="1">
      <c r="A233" s="100"/>
      <c r="B233" s="131"/>
      <c r="C233" s="93"/>
      <c r="D233" s="100"/>
      <c r="E233" s="129"/>
      <c r="F233" s="101"/>
      <c r="G233" s="100"/>
    </row>
    <row r="234" ht="12.75" customHeight="1">
      <c r="A234" s="100"/>
      <c r="B234" s="131"/>
      <c r="C234" s="93"/>
      <c r="D234" s="100"/>
      <c r="E234" s="129"/>
      <c r="F234" s="101"/>
      <c r="G234" s="100"/>
    </row>
    <row r="235" ht="12.75" customHeight="1">
      <c r="A235" s="100"/>
      <c r="B235" s="131"/>
      <c r="C235" s="93"/>
      <c r="D235" s="100"/>
      <c r="E235" s="129"/>
      <c r="F235" s="101"/>
      <c r="G235" s="100"/>
    </row>
    <row r="236" ht="12.75" customHeight="1">
      <c r="A236" s="100"/>
      <c r="B236" s="131"/>
      <c r="C236" s="93"/>
      <c r="D236" s="100"/>
      <c r="E236" s="129"/>
      <c r="F236" s="101"/>
      <c r="G236" s="100"/>
    </row>
    <row r="237" ht="12.75" customHeight="1">
      <c r="A237" s="100"/>
      <c r="B237" s="131"/>
      <c r="C237" s="93"/>
      <c r="D237" s="100"/>
      <c r="E237" s="129"/>
      <c r="F237" s="101"/>
      <c r="G237" s="100"/>
    </row>
    <row r="238" ht="12.75" customHeight="1">
      <c r="A238" s="100"/>
      <c r="B238" s="131"/>
      <c r="C238" s="93"/>
      <c r="D238" s="100"/>
      <c r="E238" s="129"/>
      <c r="F238" s="101"/>
      <c r="G238" s="100"/>
    </row>
    <row r="239" ht="12.75" customHeight="1">
      <c r="A239" s="100"/>
      <c r="B239" s="131"/>
      <c r="C239" s="93"/>
      <c r="D239" s="100"/>
      <c r="E239" s="129"/>
      <c r="F239" s="101"/>
      <c r="G239" s="100"/>
    </row>
    <row r="240" ht="12.75" customHeight="1">
      <c r="A240" s="100"/>
      <c r="B240" s="131"/>
      <c r="C240" s="93"/>
      <c r="D240" s="100"/>
      <c r="E240" s="129"/>
      <c r="F240" s="101"/>
      <c r="G240" s="100"/>
    </row>
    <row r="241" ht="12.75" customHeight="1">
      <c r="A241" s="100"/>
      <c r="B241" s="131"/>
      <c r="C241" s="93"/>
      <c r="D241" s="100"/>
      <c r="E241" s="129"/>
      <c r="F241" s="101"/>
      <c r="G241" s="100"/>
    </row>
    <row r="242" ht="12.75" customHeight="1">
      <c r="A242" s="100"/>
      <c r="B242" s="131"/>
      <c r="C242" s="93"/>
      <c r="D242" s="100"/>
      <c r="E242" s="129"/>
      <c r="F242" s="101"/>
      <c r="G242" s="100"/>
    </row>
    <row r="243" ht="12.75" customHeight="1">
      <c r="A243" s="100"/>
      <c r="B243" s="131"/>
      <c r="C243" s="93"/>
      <c r="D243" s="100"/>
      <c r="E243" s="129"/>
      <c r="F243" s="101"/>
      <c r="G243" s="100"/>
    </row>
    <row r="244" ht="12.75" customHeight="1">
      <c r="A244" s="100"/>
      <c r="B244" s="131"/>
      <c r="C244" s="93"/>
      <c r="D244" s="100"/>
      <c r="E244" s="129"/>
      <c r="F244" s="101"/>
      <c r="G244" s="100"/>
    </row>
    <row r="245" ht="12.75" customHeight="1">
      <c r="A245" s="100"/>
      <c r="B245" s="131"/>
      <c r="C245" s="93"/>
      <c r="D245" s="100"/>
      <c r="E245" s="129"/>
      <c r="F245" s="101"/>
      <c r="G245" s="100"/>
    </row>
    <row r="246" ht="12.75" customHeight="1">
      <c r="A246" s="100"/>
      <c r="B246" s="131"/>
      <c r="C246" s="93"/>
      <c r="D246" s="100"/>
      <c r="E246" s="129"/>
      <c r="F246" s="101"/>
      <c r="G246" s="100"/>
    </row>
    <row r="247" ht="12.75" customHeight="1">
      <c r="A247" s="100"/>
      <c r="B247" s="131"/>
      <c r="C247" s="93"/>
      <c r="D247" s="100"/>
      <c r="E247" s="129"/>
      <c r="F247" s="101"/>
      <c r="G247" s="100"/>
    </row>
    <row r="248" ht="12.75" customHeight="1">
      <c r="A248" s="100"/>
      <c r="B248" s="131"/>
      <c r="C248" s="93"/>
      <c r="D248" s="100"/>
      <c r="E248" s="129"/>
      <c r="F248" s="101"/>
      <c r="G248" s="100"/>
    </row>
    <row r="249" ht="12.75" customHeight="1">
      <c r="A249" s="100"/>
      <c r="B249" s="131"/>
      <c r="C249" s="93"/>
      <c r="D249" s="100"/>
      <c r="E249" s="129"/>
      <c r="F249" s="101"/>
      <c r="G249" s="100"/>
    </row>
    <row r="250" ht="12.75" customHeight="1">
      <c r="A250" s="100"/>
      <c r="B250" s="131"/>
      <c r="C250" s="93"/>
      <c r="D250" s="100"/>
      <c r="E250" s="129"/>
      <c r="F250" s="101"/>
      <c r="G250" s="100"/>
    </row>
    <row r="251" ht="12.75" customHeight="1">
      <c r="A251" s="100"/>
      <c r="B251" s="131"/>
      <c r="C251" s="93"/>
      <c r="D251" s="100"/>
      <c r="E251" s="129"/>
      <c r="F251" s="101"/>
      <c r="G251" s="100"/>
    </row>
    <row r="252" ht="12.75" customHeight="1">
      <c r="A252" s="100"/>
      <c r="B252" s="131"/>
      <c r="C252" s="93"/>
      <c r="D252" s="100"/>
      <c r="E252" s="129"/>
      <c r="F252" s="101"/>
      <c r="G252" s="100"/>
    </row>
    <row r="253" ht="12.75" customHeight="1">
      <c r="A253" s="100"/>
      <c r="B253" s="131"/>
      <c r="C253" s="93"/>
      <c r="D253" s="100"/>
      <c r="E253" s="129"/>
      <c r="F253" s="101"/>
      <c r="G253" s="100"/>
    </row>
    <row r="254" ht="12.75" customHeight="1">
      <c r="A254" s="100"/>
      <c r="B254" s="131"/>
      <c r="C254" s="93"/>
      <c r="D254" s="100"/>
      <c r="E254" s="129"/>
      <c r="F254" s="101"/>
      <c r="G254" s="100"/>
    </row>
    <row r="255" ht="12.75" customHeight="1">
      <c r="A255" s="100"/>
      <c r="B255" s="131"/>
      <c r="C255" s="93"/>
      <c r="D255" s="100"/>
      <c r="E255" s="129"/>
      <c r="F255" s="101"/>
      <c r="G255" s="100"/>
    </row>
    <row r="256" ht="12.75" customHeight="1">
      <c r="A256" s="100"/>
      <c r="B256" s="131"/>
      <c r="C256" s="93"/>
      <c r="D256" s="100"/>
      <c r="E256" s="129"/>
      <c r="F256" s="101"/>
      <c r="G256" s="100"/>
    </row>
    <row r="257" ht="12.75" customHeight="1">
      <c r="A257" s="100"/>
      <c r="B257" s="131"/>
      <c r="C257" s="93"/>
      <c r="D257" s="100"/>
      <c r="E257" s="129"/>
      <c r="F257" s="101"/>
      <c r="G257" s="100"/>
    </row>
    <row r="258" ht="12.75" customHeight="1">
      <c r="A258" s="100"/>
      <c r="B258" s="131"/>
      <c r="C258" s="93"/>
      <c r="D258" s="100"/>
      <c r="E258" s="129"/>
      <c r="F258" s="101"/>
      <c r="G258" s="100"/>
    </row>
    <row r="259" ht="12.75" customHeight="1">
      <c r="A259" s="100"/>
      <c r="B259" s="131"/>
      <c r="C259" s="93"/>
      <c r="D259" s="100"/>
      <c r="E259" s="129"/>
      <c r="F259" s="101"/>
      <c r="G259" s="100"/>
    </row>
    <row r="260" ht="12.75" customHeight="1">
      <c r="A260" s="100"/>
      <c r="B260" s="131"/>
      <c r="C260" s="93"/>
      <c r="D260" s="100"/>
      <c r="E260" s="129"/>
      <c r="F260" s="101"/>
      <c r="G260" s="100"/>
    </row>
    <row r="261" ht="12.75" customHeight="1">
      <c r="A261" s="100"/>
      <c r="B261" s="131"/>
      <c r="C261" s="93"/>
      <c r="D261" s="100"/>
      <c r="E261" s="129"/>
      <c r="F261" s="101"/>
      <c r="G261" s="100"/>
    </row>
    <row r="262" ht="12.75" customHeight="1">
      <c r="A262" s="100"/>
      <c r="B262" s="131"/>
      <c r="C262" s="93"/>
      <c r="D262" s="100"/>
      <c r="E262" s="129"/>
      <c r="F262" s="101"/>
      <c r="G262" s="100"/>
    </row>
    <row r="263" ht="12.75" customHeight="1">
      <c r="A263" s="100"/>
      <c r="B263" s="131"/>
      <c r="C263" s="93"/>
      <c r="D263" s="100"/>
      <c r="E263" s="129"/>
      <c r="F263" s="101"/>
      <c r="G263" s="100"/>
    </row>
    <row r="264" ht="12.75" customHeight="1">
      <c r="A264" s="100"/>
      <c r="B264" s="131"/>
      <c r="C264" s="93"/>
      <c r="D264" s="100"/>
      <c r="E264" s="129"/>
      <c r="F264" s="101"/>
      <c r="G264" s="100"/>
    </row>
    <row r="265" ht="12.75" customHeight="1">
      <c r="A265" s="100"/>
      <c r="B265" s="131"/>
      <c r="C265" s="93"/>
      <c r="D265" s="100"/>
      <c r="E265" s="129"/>
      <c r="F265" s="101"/>
      <c r="G265" s="100"/>
    </row>
    <row r="266" ht="12.75" customHeight="1">
      <c r="A266" s="100"/>
      <c r="B266" s="131"/>
      <c r="C266" s="93"/>
      <c r="D266" s="100"/>
      <c r="E266" s="129"/>
      <c r="F266" s="101"/>
      <c r="G266" s="100"/>
    </row>
    <row r="267" ht="12.75" customHeight="1">
      <c r="A267" s="100"/>
      <c r="B267" s="131"/>
      <c r="C267" s="93"/>
      <c r="D267" s="100"/>
      <c r="E267" s="129"/>
      <c r="F267" s="101"/>
      <c r="G267" s="100"/>
    </row>
    <row r="268" ht="12.75" customHeight="1">
      <c r="A268" s="100"/>
      <c r="B268" s="131"/>
      <c r="C268" s="93"/>
      <c r="D268" s="100"/>
      <c r="E268" s="129"/>
      <c r="F268" s="101"/>
      <c r="G268" s="100"/>
    </row>
    <row r="269" ht="12.75" customHeight="1">
      <c r="A269" s="100"/>
      <c r="B269" s="131"/>
      <c r="C269" s="93"/>
      <c r="D269" s="100"/>
      <c r="E269" s="129"/>
      <c r="F269" s="101"/>
      <c r="G269" s="100"/>
    </row>
    <row r="270" ht="12.75" customHeight="1">
      <c r="A270" s="100"/>
      <c r="B270" s="131"/>
      <c r="C270" s="93"/>
      <c r="D270" s="100"/>
      <c r="E270" s="129"/>
      <c r="F270" s="101"/>
      <c r="G270" s="100"/>
    </row>
    <row r="271" ht="12.75" customHeight="1">
      <c r="A271" s="100"/>
      <c r="B271" s="131"/>
      <c r="C271" s="93"/>
      <c r="D271" s="100"/>
      <c r="E271" s="129"/>
      <c r="F271" s="101"/>
      <c r="G271" s="100"/>
    </row>
    <row r="272" ht="12.75" customHeight="1">
      <c r="A272" s="100"/>
      <c r="B272" s="131"/>
      <c r="C272" s="93"/>
      <c r="D272" s="100"/>
      <c r="E272" s="129"/>
      <c r="F272" s="101"/>
      <c r="G272" s="100"/>
    </row>
    <row r="273" ht="12.75" customHeight="1">
      <c r="A273" s="100"/>
      <c r="B273" s="131"/>
      <c r="C273" s="93"/>
      <c r="D273" s="100"/>
      <c r="E273" s="129"/>
      <c r="F273" s="101"/>
      <c r="G273" s="100"/>
    </row>
    <row r="274" ht="12.75" customHeight="1">
      <c r="A274" s="100"/>
      <c r="B274" s="131"/>
      <c r="C274" s="93"/>
      <c r="D274" s="100"/>
      <c r="E274" s="129"/>
      <c r="F274" s="101"/>
      <c r="G274" s="100"/>
    </row>
    <row r="275" ht="12.75" customHeight="1">
      <c r="A275" s="100"/>
      <c r="B275" s="131"/>
      <c r="C275" s="93"/>
      <c r="D275" s="100"/>
      <c r="E275" s="129"/>
      <c r="F275" s="101"/>
      <c r="G275" s="100"/>
    </row>
    <row r="276" ht="12.75" customHeight="1">
      <c r="A276" s="100"/>
      <c r="B276" s="131"/>
      <c r="C276" s="93"/>
      <c r="D276" s="100"/>
      <c r="E276" s="129"/>
      <c r="F276" s="101"/>
      <c r="G276" s="100"/>
    </row>
    <row r="277" ht="12.75" customHeight="1">
      <c r="A277" s="100"/>
      <c r="B277" s="131"/>
      <c r="C277" s="93"/>
      <c r="D277" s="100"/>
      <c r="E277" s="129"/>
      <c r="F277" s="101"/>
      <c r="G277" s="100"/>
    </row>
    <row r="278" ht="12.75" customHeight="1">
      <c r="A278" s="100"/>
      <c r="B278" s="131"/>
      <c r="C278" s="93"/>
      <c r="D278" s="100"/>
      <c r="E278" s="129"/>
      <c r="F278" s="101"/>
      <c r="G278" s="100"/>
    </row>
    <row r="279" ht="12.75" customHeight="1">
      <c r="A279" s="100"/>
      <c r="B279" s="131"/>
      <c r="C279" s="93"/>
      <c r="D279" s="100"/>
      <c r="E279" s="129"/>
      <c r="F279" s="101"/>
      <c r="G279" s="100"/>
    </row>
    <row r="280" ht="12.75" customHeight="1">
      <c r="A280" s="100"/>
      <c r="B280" s="131"/>
      <c r="C280" s="93"/>
      <c r="D280" s="100"/>
      <c r="E280" s="129"/>
      <c r="F280" s="101"/>
      <c r="G280" s="100"/>
    </row>
    <row r="281" ht="12.75" customHeight="1">
      <c r="A281" s="100"/>
      <c r="B281" s="131"/>
      <c r="C281" s="93"/>
      <c r="D281" s="100"/>
      <c r="E281" s="129"/>
      <c r="F281" s="101"/>
      <c r="G281" s="100"/>
    </row>
    <row r="282" ht="12.75" customHeight="1">
      <c r="A282" s="100"/>
      <c r="B282" s="131"/>
      <c r="C282" s="93"/>
      <c r="D282" s="100"/>
      <c r="E282" s="129"/>
      <c r="F282" s="101"/>
      <c r="G282" s="100"/>
    </row>
    <row r="283" ht="12.75" customHeight="1">
      <c r="A283" s="100"/>
      <c r="B283" s="131"/>
      <c r="C283" s="93"/>
      <c r="D283" s="100"/>
      <c r="E283" s="129"/>
      <c r="F283" s="101"/>
      <c r="G283" s="100"/>
    </row>
    <row r="284" ht="12.75" customHeight="1">
      <c r="A284" s="100"/>
      <c r="B284" s="131"/>
      <c r="C284" s="93"/>
      <c r="D284" s="100"/>
      <c r="E284" s="129"/>
      <c r="F284" s="101"/>
      <c r="G284" s="100"/>
    </row>
    <row r="285" ht="12.75" customHeight="1">
      <c r="A285" s="100"/>
      <c r="B285" s="131"/>
      <c r="C285" s="93"/>
      <c r="D285" s="100"/>
      <c r="E285" s="129"/>
      <c r="F285" s="101"/>
      <c r="G285" s="100"/>
    </row>
    <row r="286" ht="12.75" customHeight="1">
      <c r="A286" s="100"/>
      <c r="B286" s="131"/>
      <c r="C286" s="93"/>
      <c r="D286" s="100"/>
      <c r="E286" s="129"/>
      <c r="F286" s="101"/>
      <c r="G286" s="100"/>
    </row>
    <row r="287" ht="12.75" customHeight="1">
      <c r="A287" s="100"/>
      <c r="B287" s="131"/>
      <c r="C287" s="93"/>
      <c r="D287" s="100"/>
      <c r="E287" s="129"/>
      <c r="F287" s="101"/>
      <c r="G287" s="100"/>
    </row>
    <row r="288" ht="12.75" customHeight="1">
      <c r="A288" s="100"/>
      <c r="B288" s="131"/>
      <c r="C288" s="93"/>
      <c r="D288" s="100"/>
      <c r="E288" s="129"/>
      <c r="F288" s="101"/>
      <c r="G288" s="100"/>
    </row>
    <row r="289" ht="12.75" customHeight="1">
      <c r="A289" s="100"/>
      <c r="B289" s="131"/>
      <c r="C289" s="93"/>
      <c r="D289" s="100"/>
      <c r="E289" s="129"/>
      <c r="F289" s="101"/>
      <c r="G289" s="100"/>
    </row>
    <row r="290" ht="12.75" customHeight="1">
      <c r="A290" s="100"/>
      <c r="B290" s="131"/>
      <c r="C290" s="93"/>
      <c r="D290" s="100"/>
      <c r="E290" s="129"/>
      <c r="F290" s="101"/>
      <c r="G290" s="100"/>
    </row>
    <row r="291" ht="12.75" customHeight="1">
      <c r="A291" s="100"/>
      <c r="B291" s="131"/>
      <c r="C291" s="93"/>
      <c r="D291" s="100"/>
      <c r="E291" s="129"/>
      <c r="F291" s="101"/>
      <c r="G291" s="100"/>
    </row>
    <row r="292" ht="12.75" customHeight="1">
      <c r="A292" s="100"/>
      <c r="B292" s="131"/>
      <c r="C292" s="93"/>
      <c r="D292" s="100"/>
      <c r="E292" s="129"/>
      <c r="F292" s="101"/>
      <c r="G292" s="100"/>
    </row>
    <row r="293" ht="12.75" customHeight="1">
      <c r="A293" s="100"/>
      <c r="B293" s="131"/>
      <c r="C293" s="93"/>
      <c r="D293" s="100"/>
      <c r="E293" s="129"/>
      <c r="F293" s="101"/>
      <c r="G293" s="100"/>
    </row>
    <row r="294" ht="12.75" customHeight="1">
      <c r="A294" s="100"/>
      <c r="B294" s="131"/>
      <c r="C294" s="93"/>
      <c r="D294" s="100"/>
      <c r="E294" s="129"/>
      <c r="F294" s="101"/>
      <c r="G294" s="100"/>
    </row>
    <row r="295" ht="12.75" customHeight="1">
      <c r="A295" s="100"/>
      <c r="B295" s="131"/>
      <c r="C295" s="93"/>
      <c r="D295" s="100"/>
      <c r="E295" s="129"/>
      <c r="F295" s="101"/>
      <c r="G295" s="100"/>
    </row>
    <row r="296" ht="12.75" customHeight="1">
      <c r="A296" s="100"/>
      <c r="B296" s="131"/>
      <c r="C296" s="93"/>
      <c r="D296" s="100"/>
      <c r="E296" s="129"/>
      <c r="F296" s="101"/>
      <c r="G296" s="100"/>
    </row>
    <row r="297" ht="12.75" customHeight="1">
      <c r="A297" s="100"/>
      <c r="B297" s="131"/>
      <c r="C297" s="93"/>
      <c r="D297" s="100"/>
      <c r="E297" s="129"/>
      <c r="F297" s="101"/>
      <c r="G297" s="100"/>
    </row>
    <row r="298" ht="12.75" customHeight="1">
      <c r="A298" s="100"/>
      <c r="B298" s="131"/>
      <c r="C298" s="93"/>
      <c r="D298" s="100"/>
      <c r="E298" s="129"/>
      <c r="F298" s="101"/>
      <c r="G298" s="100"/>
    </row>
    <row r="299" ht="12.75" customHeight="1">
      <c r="A299" s="100"/>
      <c r="B299" s="131"/>
      <c r="C299" s="93"/>
      <c r="D299" s="100"/>
      <c r="E299" s="129"/>
      <c r="F299" s="101"/>
      <c r="G299" s="100"/>
    </row>
    <row r="300" ht="12.75" customHeight="1">
      <c r="A300" s="100"/>
      <c r="B300" s="131"/>
      <c r="C300" s="93"/>
      <c r="D300" s="100"/>
      <c r="E300" s="129"/>
      <c r="F300" s="101"/>
      <c r="G300" s="100"/>
    </row>
    <row r="301" ht="12.75" customHeight="1">
      <c r="A301" s="100"/>
      <c r="B301" s="131"/>
      <c r="C301" s="93"/>
      <c r="D301" s="100"/>
      <c r="E301" s="129"/>
      <c r="F301" s="101"/>
      <c r="G301" s="100"/>
    </row>
    <row r="302" ht="12.75" customHeight="1">
      <c r="A302" s="100"/>
      <c r="B302" s="131"/>
      <c r="C302" s="93"/>
      <c r="D302" s="100"/>
      <c r="E302" s="129"/>
      <c r="F302" s="101"/>
      <c r="G302" s="100"/>
    </row>
    <row r="303" ht="12.75" customHeight="1">
      <c r="A303" s="100"/>
      <c r="B303" s="131"/>
      <c r="C303" s="93"/>
      <c r="D303" s="100"/>
      <c r="E303" s="129"/>
      <c r="F303" s="101"/>
      <c r="G303" s="100"/>
    </row>
    <row r="304" ht="12.75" customHeight="1">
      <c r="A304" s="100"/>
      <c r="B304" s="131"/>
      <c r="C304" s="93"/>
      <c r="D304" s="100"/>
      <c r="E304" s="129"/>
      <c r="F304" s="101"/>
      <c r="G304" s="100"/>
    </row>
    <row r="305" ht="12.75" customHeight="1">
      <c r="A305" s="100"/>
      <c r="B305" s="131"/>
      <c r="C305" s="93"/>
      <c r="D305" s="100"/>
      <c r="E305" s="129"/>
      <c r="F305" s="101"/>
      <c r="G305" s="100"/>
    </row>
    <row r="306" ht="12.75" customHeight="1">
      <c r="A306" s="100"/>
      <c r="B306" s="131"/>
      <c r="C306" s="93"/>
      <c r="D306" s="100"/>
      <c r="E306" s="129"/>
      <c r="F306" s="101"/>
      <c r="G306" s="100"/>
    </row>
    <row r="307" ht="12.75" customHeight="1">
      <c r="A307" s="100"/>
      <c r="B307" s="131"/>
      <c r="C307" s="93"/>
      <c r="D307" s="100"/>
      <c r="E307" s="129"/>
      <c r="F307" s="101"/>
      <c r="G307" s="100"/>
    </row>
    <row r="308" ht="12.75" customHeight="1">
      <c r="A308" s="100"/>
      <c r="B308" s="131"/>
      <c r="C308" s="93"/>
      <c r="D308" s="100"/>
      <c r="E308" s="129"/>
      <c r="F308" s="101"/>
      <c r="G308" s="100"/>
    </row>
    <row r="309" ht="12.75" customHeight="1">
      <c r="A309" s="100"/>
      <c r="B309" s="131"/>
      <c r="C309" s="93"/>
      <c r="D309" s="100"/>
      <c r="E309" s="129"/>
      <c r="F309" s="101"/>
      <c r="G309" s="100"/>
    </row>
    <row r="310" ht="12.75" customHeight="1">
      <c r="A310" s="100"/>
      <c r="B310" s="131"/>
      <c r="C310" s="93"/>
      <c r="D310" s="100"/>
      <c r="E310" s="129"/>
      <c r="F310" s="101"/>
      <c r="G310" s="100"/>
    </row>
    <row r="311" ht="12.75" customHeight="1">
      <c r="A311" s="100"/>
      <c r="B311" s="131"/>
      <c r="C311" s="93"/>
      <c r="D311" s="100"/>
      <c r="E311" s="129"/>
      <c r="F311" s="101"/>
      <c r="G311" s="100"/>
    </row>
    <row r="312" ht="12.75" customHeight="1">
      <c r="A312" s="100"/>
      <c r="B312" s="131"/>
      <c r="C312" s="93"/>
      <c r="D312" s="100"/>
      <c r="E312" s="129"/>
      <c r="F312" s="101"/>
      <c r="G312" s="100"/>
    </row>
    <row r="313" ht="12.75" customHeight="1">
      <c r="A313" s="100"/>
      <c r="B313" s="131"/>
      <c r="C313" s="93"/>
      <c r="D313" s="100"/>
      <c r="E313" s="129"/>
      <c r="F313" s="101"/>
      <c r="G313" s="100"/>
    </row>
    <row r="314" ht="12.75" customHeight="1">
      <c r="A314" s="100"/>
      <c r="B314" s="131"/>
      <c r="C314" s="93"/>
      <c r="D314" s="100"/>
      <c r="E314" s="129"/>
      <c r="F314" s="101"/>
      <c r="G314" s="100"/>
    </row>
    <row r="315" ht="12.75" customHeight="1">
      <c r="A315" s="100"/>
      <c r="B315" s="131"/>
      <c r="C315" s="93"/>
      <c r="D315" s="100"/>
      <c r="E315" s="129"/>
      <c r="F315" s="101"/>
      <c r="G315" s="100"/>
    </row>
    <row r="316" ht="12.75" customHeight="1">
      <c r="A316" s="100"/>
      <c r="B316" s="131"/>
      <c r="C316" s="93"/>
      <c r="D316" s="100"/>
      <c r="E316" s="129"/>
      <c r="F316" s="101"/>
      <c r="G316" s="100"/>
    </row>
    <row r="317" ht="12.75" customHeight="1">
      <c r="A317" s="100"/>
      <c r="B317" s="131"/>
      <c r="C317" s="93"/>
      <c r="D317" s="100"/>
      <c r="E317" s="129"/>
      <c r="F317" s="101"/>
      <c r="G317" s="100"/>
    </row>
    <row r="318" ht="12.75" customHeight="1">
      <c r="A318" s="100"/>
      <c r="B318" s="131"/>
      <c r="C318" s="93"/>
      <c r="D318" s="100"/>
      <c r="E318" s="129"/>
      <c r="F318" s="101"/>
      <c r="G318" s="100"/>
    </row>
    <row r="319" ht="12.75" customHeight="1">
      <c r="A319" s="100"/>
      <c r="B319" s="131"/>
      <c r="C319" s="93"/>
      <c r="D319" s="100"/>
      <c r="E319" s="129"/>
      <c r="F319" s="101"/>
      <c r="G319" s="100"/>
    </row>
    <row r="320" ht="12.75" customHeight="1">
      <c r="A320" s="100"/>
      <c r="B320" s="131"/>
      <c r="C320" s="93"/>
      <c r="D320" s="100"/>
      <c r="E320" s="129"/>
      <c r="F320" s="101"/>
      <c r="G320" s="100"/>
    </row>
    <row r="321" ht="12.75" customHeight="1">
      <c r="A321" s="100"/>
      <c r="B321" s="131"/>
      <c r="C321" s="93"/>
      <c r="D321" s="100"/>
      <c r="E321" s="129"/>
      <c r="F321" s="101"/>
      <c r="G321" s="100"/>
    </row>
    <row r="322" ht="12.75" customHeight="1">
      <c r="A322" s="100"/>
      <c r="B322" s="131"/>
      <c r="C322" s="93"/>
      <c r="D322" s="100"/>
      <c r="E322" s="129"/>
      <c r="F322" s="101"/>
      <c r="G322" s="100"/>
    </row>
    <row r="323" ht="12.75" customHeight="1">
      <c r="A323" s="100"/>
      <c r="B323" s="131"/>
      <c r="C323" s="93"/>
      <c r="D323" s="100"/>
      <c r="E323" s="129"/>
      <c r="F323" s="101"/>
      <c r="G323" s="100"/>
    </row>
    <row r="324" ht="12.75" customHeight="1">
      <c r="A324" s="100"/>
      <c r="B324" s="131"/>
      <c r="C324" s="93"/>
      <c r="D324" s="100"/>
      <c r="E324" s="129"/>
      <c r="F324" s="101"/>
      <c r="G324" s="100"/>
    </row>
    <row r="325" ht="12.75" customHeight="1">
      <c r="A325" s="100"/>
      <c r="B325" s="131"/>
      <c r="C325" s="93"/>
      <c r="D325" s="100"/>
      <c r="E325" s="129"/>
      <c r="F325" s="101"/>
      <c r="G325" s="100"/>
    </row>
    <row r="326" ht="12.75" customHeight="1">
      <c r="A326" s="100"/>
      <c r="B326" s="131"/>
      <c r="C326" s="93"/>
      <c r="D326" s="100"/>
      <c r="E326" s="129"/>
      <c r="F326" s="101"/>
      <c r="G326" s="100"/>
    </row>
    <row r="327" ht="12.75" customHeight="1">
      <c r="A327" s="100"/>
      <c r="B327" s="131"/>
      <c r="C327" s="93"/>
      <c r="D327" s="100"/>
      <c r="E327" s="129"/>
      <c r="F327" s="101"/>
      <c r="G327" s="100"/>
    </row>
    <row r="328" ht="12.75" customHeight="1">
      <c r="A328" s="100"/>
      <c r="B328" s="131"/>
      <c r="C328" s="93"/>
      <c r="D328" s="100"/>
      <c r="E328" s="129"/>
      <c r="F328" s="101"/>
      <c r="G328" s="100"/>
    </row>
    <row r="329" ht="12.75" customHeight="1">
      <c r="A329" s="100"/>
      <c r="B329" s="131"/>
      <c r="C329" s="93"/>
      <c r="D329" s="100"/>
      <c r="E329" s="129"/>
      <c r="F329" s="101"/>
      <c r="G329" s="100"/>
    </row>
    <row r="330" ht="12.75" customHeight="1">
      <c r="A330" s="100"/>
      <c r="B330" s="131"/>
      <c r="C330" s="93"/>
      <c r="D330" s="100"/>
      <c r="E330" s="129"/>
      <c r="F330" s="101"/>
      <c r="G330" s="100"/>
    </row>
    <row r="331" ht="12.75" customHeight="1">
      <c r="A331" s="100"/>
      <c r="B331" s="131"/>
      <c r="C331" s="93"/>
      <c r="D331" s="100"/>
      <c r="E331" s="129"/>
      <c r="F331" s="101"/>
      <c r="G331" s="100"/>
    </row>
    <row r="332" ht="12.75" customHeight="1">
      <c r="A332" s="100"/>
      <c r="B332" s="131"/>
      <c r="C332" s="93"/>
      <c r="D332" s="100"/>
      <c r="E332" s="129"/>
      <c r="F332" s="101"/>
      <c r="G332" s="100"/>
    </row>
    <row r="333" ht="12.75" customHeight="1">
      <c r="A333" s="100"/>
      <c r="B333" s="131"/>
      <c r="C333" s="93"/>
      <c r="D333" s="100"/>
      <c r="E333" s="129"/>
      <c r="F333" s="101"/>
      <c r="G333" s="100"/>
    </row>
    <row r="334" ht="12.75" customHeight="1">
      <c r="A334" s="100"/>
      <c r="B334" s="131"/>
      <c r="C334" s="93"/>
      <c r="D334" s="100"/>
      <c r="E334" s="129"/>
      <c r="F334" s="101"/>
      <c r="G334" s="100"/>
    </row>
    <row r="335" ht="12.75" customHeight="1">
      <c r="A335" s="100"/>
      <c r="B335" s="131"/>
      <c r="C335" s="93"/>
      <c r="D335" s="100"/>
      <c r="E335" s="129"/>
      <c r="F335" s="101"/>
      <c r="G335" s="100"/>
    </row>
    <row r="336" ht="12.75" customHeight="1">
      <c r="A336" s="100"/>
      <c r="B336" s="131"/>
      <c r="C336" s="93"/>
      <c r="D336" s="100"/>
      <c r="E336" s="129"/>
      <c r="F336" s="101"/>
      <c r="G336" s="100"/>
    </row>
    <row r="337" ht="12.75" customHeight="1">
      <c r="A337" s="100"/>
      <c r="B337" s="131"/>
      <c r="C337" s="93"/>
      <c r="D337" s="100"/>
      <c r="E337" s="129"/>
      <c r="F337" s="101"/>
      <c r="G337" s="100"/>
    </row>
    <row r="338" ht="12.75" customHeight="1">
      <c r="A338" s="100"/>
      <c r="B338" s="131"/>
      <c r="C338" s="93"/>
      <c r="D338" s="100"/>
      <c r="E338" s="129"/>
      <c r="F338" s="101"/>
      <c r="G338" s="100"/>
    </row>
    <row r="339" ht="12.75" customHeight="1">
      <c r="A339" s="100"/>
      <c r="B339" s="131"/>
      <c r="C339" s="93"/>
      <c r="D339" s="100"/>
      <c r="E339" s="129"/>
      <c r="F339" s="101"/>
      <c r="G339" s="100"/>
    </row>
    <row r="340" ht="12.75" customHeight="1">
      <c r="A340" s="100"/>
      <c r="B340" s="131"/>
      <c r="C340" s="93"/>
      <c r="D340" s="100"/>
      <c r="E340" s="129"/>
      <c r="F340" s="101"/>
      <c r="G340" s="100"/>
    </row>
    <row r="341" ht="12.75" customHeight="1">
      <c r="A341" s="100"/>
      <c r="B341" s="131"/>
      <c r="C341" s="93"/>
      <c r="D341" s="100"/>
      <c r="E341" s="129"/>
      <c r="F341" s="101"/>
      <c r="G341" s="100"/>
    </row>
    <row r="342" ht="12.75" customHeight="1">
      <c r="A342" s="100"/>
      <c r="B342" s="131"/>
      <c r="C342" s="93"/>
      <c r="D342" s="100"/>
      <c r="E342" s="129"/>
      <c r="F342" s="101"/>
      <c r="G342" s="100"/>
    </row>
    <row r="343" ht="12.75" customHeight="1">
      <c r="A343" s="100"/>
      <c r="B343" s="131"/>
      <c r="C343" s="93"/>
      <c r="D343" s="100"/>
      <c r="E343" s="129"/>
      <c r="F343" s="101"/>
      <c r="G343" s="100"/>
    </row>
    <row r="344" ht="12.75" customHeight="1">
      <c r="A344" s="100"/>
      <c r="B344" s="131"/>
      <c r="C344" s="93"/>
      <c r="D344" s="100"/>
      <c r="E344" s="129"/>
      <c r="F344" s="101"/>
      <c r="G344" s="100"/>
    </row>
    <row r="345" ht="12.75" customHeight="1">
      <c r="A345" s="100"/>
      <c r="B345" s="131"/>
      <c r="C345" s="93"/>
      <c r="D345" s="100"/>
      <c r="E345" s="129"/>
      <c r="F345" s="101"/>
      <c r="G345" s="100"/>
    </row>
    <row r="346" ht="12.75" customHeight="1">
      <c r="A346" s="100"/>
      <c r="B346" s="131"/>
      <c r="C346" s="93"/>
      <c r="D346" s="100"/>
      <c r="E346" s="129"/>
      <c r="F346" s="101"/>
      <c r="G346" s="100"/>
    </row>
    <row r="347" ht="12.75" customHeight="1">
      <c r="A347" s="100"/>
      <c r="B347" s="131"/>
      <c r="C347" s="93"/>
      <c r="D347" s="100"/>
      <c r="E347" s="129"/>
      <c r="F347" s="101"/>
      <c r="G347" s="100"/>
    </row>
    <row r="348" ht="12.75" customHeight="1">
      <c r="A348" s="100"/>
      <c r="B348" s="131"/>
      <c r="C348" s="93"/>
      <c r="D348" s="100"/>
      <c r="E348" s="129"/>
      <c r="F348" s="101"/>
      <c r="G348" s="100"/>
    </row>
    <row r="349" ht="12.75" customHeight="1">
      <c r="A349" s="100"/>
      <c r="B349" s="131"/>
      <c r="C349" s="93"/>
      <c r="D349" s="100"/>
      <c r="E349" s="129"/>
      <c r="F349" s="101"/>
      <c r="G349" s="100"/>
    </row>
    <row r="350" ht="12.75" customHeight="1">
      <c r="A350" s="100"/>
      <c r="B350" s="131"/>
      <c r="C350" s="93"/>
      <c r="D350" s="100"/>
      <c r="E350" s="129"/>
      <c r="F350" s="101"/>
      <c r="G350" s="100"/>
    </row>
    <row r="351" ht="12.75" customHeight="1">
      <c r="A351" s="100"/>
      <c r="B351" s="131"/>
      <c r="C351" s="93"/>
      <c r="D351" s="100"/>
      <c r="E351" s="129"/>
      <c r="F351" s="101"/>
      <c r="G351" s="100"/>
    </row>
    <row r="352" ht="12.75" customHeight="1">
      <c r="A352" s="100"/>
      <c r="B352" s="131"/>
      <c r="C352" s="93"/>
      <c r="D352" s="100"/>
      <c r="E352" s="129"/>
      <c r="F352" s="101"/>
      <c r="G352" s="100"/>
    </row>
    <row r="353" ht="12.75" customHeight="1">
      <c r="A353" s="100"/>
      <c r="B353" s="131"/>
      <c r="C353" s="93"/>
      <c r="D353" s="100"/>
      <c r="E353" s="129"/>
      <c r="F353" s="101"/>
      <c r="G353" s="100"/>
    </row>
    <row r="354" ht="12.75" customHeight="1">
      <c r="A354" s="100"/>
      <c r="B354" s="131"/>
      <c r="C354" s="93"/>
      <c r="D354" s="100"/>
      <c r="E354" s="129"/>
      <c r="F354" s="101"/>
      <c r="G354" s="100"/>
    </row>
    <row r="355" ht="12.75" customHeight="1">
      <c r="A355" s="100"/>
      <c r="B355" s="131"/>
      <c r="C355" s="93"/>
      <c r="D355" s="100"/>
      <c r="E355" s="129"/>
      <c r="F355" s="101"/>
      <c r="G355" s="100"/>
    </row>
    <row r="356" ht="12.75" customHeight="1">
      <c r="A356" s="100"/>
      <c r="B356" s="131"/>
      <c r="C356" s="93"/>
      <c r="D356" s="100"/>
      <c r="E356" s="129"/>
      <c r="F356" s="101"/>
      <c r="G356" s="100"/>
    </row>
    <row r="357" ht="12.75" customHeight="1">
      <c r="A357" s="100"/>
      <c r="B357" s="131"/>
      <c r="C357" s="93"/>
      <c r="D357" s="100"/>
      <c r="E357" s="129"/>
      <c r="F357" s="101"/>
      <c r="G357" s="100"/>
    </row>
    <row r="358" ht="12.75" customHeight="1">
      <c r="A358" s="100"/>
      <c r="B358" s="131"/>
      <c r="C358" s="93"/>
      <c r="D358" s="100"/>
      <c r="E358" s="129"/>
      <c r="F358" s="101"/>
      <c r="G358" s="100"/>
    </row>
    <row r="359" ht="12.75" customHeight="1">
      <c r="A359" s="100"/>
      <c r="B359" s="131"/>
      <c r="C359" s="93"/>
      <c r="D359" s="100"/>
      <c r="E359" s="129"/>
      <c r="F359" s="101"/>
      <c r="G359" s="100"/>
    </row>
    <row r="360" ht="12.75" customHeight="1">
      <c r="A360" s="100"/>
      <c r="B360" s="131"/>
      <c r="C360" s="93"/>
      <c r="D360" s="100"/>
      <c r="E360" s="129"/>
      <c r="F360" s="101"/>
      <c r="G360" s="100"/>
    </row>
    <row r="361" ht="12.75" customHeight="1">
      <c r="A361" s="100"/>
      <c r="B361" s="131"/>
      <c r="C361" s="93"/>
      <c r="D361" s="100"/>
      <c r="E361" s="129"/>
      <c r="F361" s="101"/>
      <c r="G361" s="100"/>
    </row>
    <row r="362" ht="12.75" customHeight="1">
      <c r="A362" s="100"/>
      <c r="B362" s="131"/>
      <c r="C362" s="93"/>
      <c r="D362" s="100"/>
      <c r="E362" s="129"/>
      <c r="F362" s="101"/>
      <c r="G362" s="100"/>
    </row>
    <row r="363" ht="12.75" customHeight="1">
      <c r="A363" s="100"/>
      <c r="B363" s="131"/>
      <c r="C363" s="93"/>
      <c r="D363" s="100"/>
      <c r="E363" s="129"/>
      <c r="F363" s="101"/>
      <c r="G363" s="100"/>
    </row>
    <row r="364" ht="12.75" customHeight="1">
      <c r="A364" s="100"/>
      <c r="B364" s="131"/>
      <c r="C364" s="93"/>
      <c r="D364" s="100"/>
      <c r="E364" s="129"/>
      <c r="F364" s="101"/>
      <c r="G364" s="100"/>
    </row>
    <row r="365" ht="12.75" customHeight="1">
      <c r="A365" s="100"/>
      <c r="B365" s="131"/>
      <c r="C365" s="93"/>
      <c r="D365" s="100"/>
      <c r="E365" s="129"/>
      <c r="F365" s="101"/>
      <c r="G365" s="100"/>
    </row>
    <row r="366" ht="12.75" customHeight="1">
      <c r="A366" s="100"/>
      <c r="B366" s="131"/>
      <c r="C366" s="93"/>
      <c r="D366" s="100"/>
      <c r="E366" s="129"/>
      <c r="F366" s="101"/>
      <c r="G366" s="100"/>
    </row>
    <row r="367" ht="12.75" customHeight="1">
      <c r="A367" s="100"/>
      <c r="B367" s="131"/>
      <c r="C367" s="93"/>
      <c r="D367" s="100"/>
      <c r="E367" s="129"/>
      <c r="F367" s="101"/>
      <c r="G367" s="100"/>
    </row>
    <row r="368" ht="12.75" customHeight="1">
      <c r="A368" s="100"/>
      <c r="B368" s="131"/>
      <c r="C368" s="93"/>
      <c r="D368" s="100"/>
      <c r="E368" s="129"/>
      <c r="F368" s="101"/>
      <c r="G368" s="100"/>
    </row>
    <row r="369" ht="12.75" customHeight="1">
      <c r="A369" s="100"/>
      <c r="B369" s="131"/>
      <c r="C369" s="93"/>
      <c r="D369" s="100"/>
      <c r="E369" s="129"/>
      <c r="F369" s="101"/>
      <c r="G369" s="100"/>
    </row>
    <row r="370" ht="12.75" customHeight="1">
      <c r="A370" s="100"/>
      <c r="B370" s="131"/>
      <c r="C370" s="93"/>
      <c r="D370" s="100"/>
      <c r="E370" s="129"/>
      <c r="F370" s="101"/>
      <c r="G370" s="100"/>
    </row>
    <row r="371" ht="12.75" customHeight="1">
      <c r="A371" s="100"/>
      <c r="B371" s="131"/>
      <c r="C371" s="93"/>
      <c r="D371" s="100"/>
      <c r="E371" s="129"/>
      <c r="F371" s="101"/>
      <c r="G371" s="100"/>
    </row>
    <row r="372" ht="12.75" customHeight="1">
      <c r="A372" s="100"/>
      <c r="B372" s="131"/>
      <c r="C372" s="93"/>
      <c r="D372" s="100"/>
      <c r="E372" s="129"/>
      <c r="F372" s="101"/>
      <c r="G372" s="100"/>
    </row>
    <row r="373" ht="12.75" customHeight="1">
      <c r="A373" s="100"/>
      <c r="B373" s="131"/>
      <c r="C373" s="93"/>
      <c r="D373" s="100"/>
      <c r="E373" s="129"/>
      <c r="F373" s="101"/>
      <c r="G373" s="100"/>
    </row>
    <row r="374" ht="12.75" customHeight="1">
      <c r="A374" s="100"/>
      <c r="B374" s="131"/>
      <c r="C374" s="93"/>
      <c r="D374" s="100"/>
      <c r="E374" s="129"/>
      <c r="F374" s="101"/>
      <c r="G374" s="100"/>
    </row>
    <row r="375" ht="12.75" customHeight="1">
      <c r="A375" s="100"/>
      <c r="B375" s="131"/>
      <c r="C375" s="93"/>
      <c r="D375" s="100"/>
      <c r="E375" s="129"/>
      <c r="F375" s="101"/>
      <c r="G375" s="100"/>
    </row>
    <row r="376" ht="12.75" customHeight="1">
      <c r="A376" s="100"/>
      <c r="B376" s="131"/>
      <c r="C376" s="93"/>
      <c r="D376" s="100"/>
      <c r="E376" s="129"/>
      <c r="F376" s="101"/>
      <c r="G376" s="100"/>
    </row>
    <row r="377" ht="12.75" customHeight="1">
      <c r="A377" s="100"/>
      <c r="B377" s="131"/>
      <c r="C377" s="93"/>
      <c r="D377" s="100"/>
      <c r="E377" s="129"/>
      <c r="F377" s="101"/>
      <c r="G377" s="100"/>
    </row>
    <row r="378" ht="12.75" customHeight="1">
      <c r="A378" s="100"/>
      <c r="B378" s="131"/>
      <c r="C378" s="93"/>
      <c r="D378" s="100"/>
      <c r="E378" s="129"/>
      <c r="F378" s="101"/>
      <c r="G378" s="100"/>
    </row>
    <row r="379" ht="12.75" customHeight="1">
      <c r="A379" s="100"/>
      <c r="B379" s="131"/>
      <c r="C379" s="93"/>
      <c r="D379" s="100"/>
      <c r="E379" s="129"/>
      <c r="F379" s="101"/>
      <c r="G379" s="100"/>
    </row>
    <row r="380" ht="12.75" customHeight="1">
      <c r="A380" s="100"/>
      <c r="B380" s="131"/>
      <c r="C380" s="93"/>
      <c r="D380" s="100"/>
      <c r="E380" s="129"/>
      <c r="F380" s="101"/>
      <c r="G380" s="100"/>
    </row>
    <row r="381" ht="12.75" customHeight="1">
      <c r="A381" s="100"/>
      <c r="B381" s="131"/>
      <c r="C381" s="93"/>
      <c r="D381" s="100"/>
      <c r="E381" s="129"/>
      <c r="F381" s="101"/>
      <c r="G381" s="100"/>
    </row>
    <row r="382" ht="12.75" customHeight="1">
      <c r="A382" s="100"/>
      <c r="B382" s="131"/>
      <c r="C382" s="93"/>
      <c r="D382" s="100"/>
      <c r="E382" s="129"/>
      <c r="F382" s="101"/>
      <c r="G382" s="100"/>
    </row>
    <row r="383" ht="12.75" customHeight="1">
      <c r="A383" s="100"/>
      <c r="B383" s="131"/>
      <c r="C383" s="93"/>
      <c r="D383" s="100"/>
      <c r="E383" s="129"/>
      <c r="F383" s="101"/>
      <c r="G383" s="100"/>
    </row>
    <row r="384" ht="12.75" customHeight="1">
      <c r="A384" s="100"/>
      <c r="B384" s="131"/>
      <c r="C384" s="93"/>
      <c r="D384" s="100"/>
      <c r="E384" s="129"/>
      <c r="F384" s="101"/>
      <c r="G384" s="100"/>
    </row>
    <row r="385" ht="12.75" customHeight="1">
      <c r="A385" s="100"/>
      <c r="B385" s="131"/>
      <c r="C385" s="93"/>
      <c r="D385" s="100"/>
      <c r="E385" s="129"/>
      <c r="F385" s="101"/>
      <c r="G385" s="100"/>
    </row>
    <row r="386" ht="12.75" customHeight="1">
      <c r="A386" s="100"/>
      <c r="B386" s="131"/>
      <c r="C386" s="93"/>
      <c r="D386" s="100"/>
      <c r="E386" s="129"/>
      <c r="F386" s="101"/>
      <c r="G386" s="100"/>
    </row>
    <row r="387" ht="12.75" customHeight="1">
      <c r="A387" s="100"/>
      <c r="B387" s="131"/>
      <c r="C387" s="93"/>
      <c r="D387" s="100"/>
      <c r="E387" s="129"/>
      <c r="F387" s="101"/>
      <c r="G387" s="100"/>
    </row>
    <row r="388" ht="12.75" customHeight="1">
      <c r="A388" s="100"/>
      <c r="B388" s="131"/>
      <c r="C388" s="93"/>
      <c r="D388" s="100"/>
      <c r="E388" s="129"/>
      <c r="F388" s="101"/>
      <c r="G388" s="100"/>
    </row>
    <row r="389" ht="12.75" customHeight="1">
      <c r="A389" s="100"/>
      <c r="B389" s="131"/>
      <c r="C389" s="93"/>
      <c r="D389" s="100"/>
      <c r="E389" s="129"/>
      <c r="F389" s="101"/>
      <c r="G389" s="100"/>
    </row>
    <row r="390" ht="12.75" customHeight="1">
      <c r="A390" s="100"/>
      <c r="B390" s="131"/>
      <c r="C390" s="93"/>
      <c r="D390" s="100"/>
      <c r="E390" s="129"/>
      <c r="F390" s="101"/>
      <c r="G390" s="100"/>
    </row>
    <row r="391" ht="12.75" customHeight="1">
      <c r="A391" s="100"/>
      <c r="B391" s="131"/>
      <c r="C391" s="93"/>
      <c r="D391" s="100"/>
      <c r="E391" s="129"/>
      <c r="F391" s="101"/>
      <c r="G391" s="100"/>
    </row>
    <row r="392" ht="12.75" customHeight="1">
      <c r="A392" s="100"/>
      <c r="B392" s="131"/>
      <c r="C392" s="93"/>
      <c r="D392" s="100"/>
      <c r="E392" s="129"/>
      <c r="F392" s="101"/>
      <c r="G392" s="100"/>
    </row>
    <row r="393" ht="12.75" customHeight="1">
      <c r="A393" s="100"/>
      <c r="B393" s="131"/>
      <c r="C393" s="93"/>
      <c r="D393" s="100"/>
      <c r="E393" s="129"/>
      <c r="F393" s="101"/>
      <c r="G393" s="100"/>
    </row>
    <row r="394" ht="12.75" customHeight="1">
      <c r="A394" s="100"/>
      <c r="B394" s="131"/>
      <c r="C394" s="93"/>
      <c r="D394" s="100"/>
      <c r="E394" s="129"/>
      <c r="F394" s="101"/>
      <c r="G394" s="100"/>
    </row>
    <row r="395" ht="12.75" customHeight="1">
      <c r="A395" s="100"/>
      <c r="B395" s="131"/>
      <c r="C395" s="93"/>
      <c r="D395" s="100"/>
      <c r="E395" s="129"/>
      <c r="F395" s="101"/>
      <c r="G395" s="100"/>
    </row>
    <row r="396" ht="12.75" customHeight="1">
      <c r="A396" s="100"/>
      <c r="B396" s="131"/>
      <c r="C396" s="93"/>
      <c r="D396" s="100"/>
      <c r="E396" s="129"/>
      <c r="F396" s="101"/>
      <c r="G396" s="100"/>
    </row>
    <row r="397" ht="12.75" customHeight="1">
      <c r="A397" s="100"/>
      <c r="B397" s="131"/>
      <c r="C397" s="93"/>
      <c r="D397" s="100"/>
      <c r="E397" s="129"/>
      <c r="F397" s="101"/>
      <c r="G397" s="100"/>
    </row>
    <row r="398" ht="12.75" customHeight="1">
      <c r="A398" s="100"/>
      <c r="B398" s="131"/>
      <c r="C398" s="93"/>
      <c r="D398" s="100"/>
      <c r="E398" s="129"/>
      <c r="F398" s="101"/>
      <c r="G398" s="100"/>
    </row>
    <row r="399" ht="12.75" customHeight="1">
      <c r="A399" s="100"/>
      <c r="B399" s="131"/>
      <c r="C399" s="93"/>
      <c r="D399" s="100"/>
      <c r="E399" s="129"/>
      <c r="F399" s="101"/>
      <c r="G399" s="100"/>
    </row>
    <row r="400" ht="12.75" customHeight="1">
      <c r="A400" s="100"/>
      <c r="B400" s="131"/>
      <c r="C400" s="93"/>
      <c r="D400" s="100"/>
      <c r="E400" s="129"/>
      <c r="F400" s="101"/>
      <c r="G400" s="100"/>
    </row>
    <row r="401" ht="12.75" customHeight="1">
      <c r="A401" s="100"/>
      <c r="B401" s="131"/>
      <c r="C401" s="93"/>
      <c r="D401" s="100"/>
      <c r="E401" s="129"/>
      <c r="F401" s="101"/>
      <c r="G401" s="100"/>
    </row>
    <row r="402" ht="12.75" customHeight="1">
      <c r="A402" s="100"/>
      <c r="B402" s="131"/>
      <c r="C402" s="93"/>
      <c r="D402" s="100"/>
      <c r="E402" s="129"/>
      <c r="F402" s="123"/>
      <c r="G402" s="100"/>
    </row>
    <row r="403" ht="12.75" customHeight="1">
      <c r="A403" s="100"/>
      <c r="B403" s="131"/>
      <c r="C403" s="93"/>
      <c r="D403" s="100"/>
      <c r="E403" s="129"/>
      <c r="F403" s="123"/>
      <c r="G403" s="100"/>
    </row>
    <row r="404" ht="12.75" customHeight="1">
      <c r="A404" s="100"/>
      <c r="B404" s="131"/>
      <c r="C404" s="93"/>
      <c r="D404" s="100"/>
      <c r="E404" s="129"/>
      <c r="F404" s="123"/>
      <c r="G404" s="100"/>
    </row>
    <row r="405" ht="12.75" customHeight="1">
      <c r="A405" s="100"/>
      <c r="B405" s="131"/>
      <c r="C405" s="93"/>
      <c r="D405" s="100"/>
      <c r="E405" s="129"/>
      <c r="F405" s="124"/>
      <c r="G405" s="100"/>
    </row>
    <row r="406" ht="12.75" customHeight="1">
      <c r="A406" s="100"/>
      <c r="B406" s="131"/>
      <c r="C406" s="93"/>
      <c r="D406" s="100"/>
      <c r="E406" s="129"/>
      <c r="F406" s="124"/>
      <c r="G406" s="100"/>
    </row>
    <row r="407" ht="12.75" customHeight="1">
      <c r="A407" s="100"/>
      <c r="B407" s="131"/>
      <c r="C407" s="93"/>
      <c r="D407" s="100"/>
      <c r="E407" s="129"/>
      <c r="F407" s="124"/>
      <c r="G407" s="100"/>
    </row>
    <row r="408" ht="12.75" customHeight="1">
      <c r="A408" s="100"/>
      <c r="B408" s="131"/>
      <c r="C408" s="93"/>
      <c r="D408" s="100"/>
      <c r="E408" s="129"/>
      <c r="F408" s="124"/>
      <c r="G408" s="100"/>
    </row>
    <row r="409" ht="12.75" customHeight="1">
      <c r="A409" s="100"/>
      <c r="B409" s="131"/>
      <c r="C409" s="93"/>
      <c r="D409" s="100"/>
      <c r="E409" s="129"/>
      <c r="F409" s="124"/>
      <c r="G409" s="100"/>
    </row>
    <row r="410" ht="12.75" customHeight="1">
      <c r="A410" s="100"/>
      <c r="B410" s="131"/>
      <c r="C410" s="93"/>
      <c r="D410" s="100"/>
      <c r="E410" s="129"/>
      <c r="F410" s="124"/>
      <c r="G410" s="100"/>
    </row>
    <row r="411" ht="12.75" customHeight="1">
      <c r="A411" s="100"/>
      <c r="B411" s="131"/>
      <c r="C411" s="93"/>
      <c r="D411" s="100"/>
      <c r="E411" s="129"/>
      <c r="F411" s="124"/>
      <c r="G411" s="100"/>
    </row>
    <row r="412" ht="12.75" customHeight="1">
      <c r="A412" s="100"/>
      <c r="B412" s="131"/>
      <c r="C412" s="93"/>
      <c r="D412" s="100"/>
      <c r="E412" s="129"/>
      <c r="F412" s="124"/>
      <c r="G412" s="100"/>
    </row>
    <row r="413" ht="12.75" customHeight="1">
      <c r="A413" s="100"/>
      <c r="B413" s="131"/>
      <c r="C413" s="93"/>
      <c r="D413" s="100"/>
      <c r="E413" s="129"/>
      <c r="F413" s="124"/>
      <c r="G413" s="100"/>
    </row>
    <row r="414" ht="12.75" customHeight="1">
      <c r="A414" s="100"/>
      <c r="B414" s="131"/>
      <c r="C414" s="93"/>
      <c r="D414" s="100"/>
      <c r="E414" s="129"/>
      <c r="F414" s="124"/>
      <c r="G414" s="100"/>
    </row>
    <row r="415" ht="12.75" customHeight="1">
      <c r="A415" s="100"/>
      <c r="B415" s="131"/>
      <c r="C415" s="93"/>
      <c r="D415" s="100"/>
      <c r="E415" s="129"/>
      <c r="F415" s="124"/>
      <c r="G415" s="100"/>
    </row>
    <row r="416" ht="12.75" customHeight="1">
      <c r="A416" s="100"/>
      <c r="B416" s="131"/>
      <c r="C416" s="93"/>
      <c r="D416" s="100"/>
      <c r="E416" s="129"/>
      <c r="F416" s="124"/>
      <c r="G416" s="100"/>
    </row>
    <row r="417" ht="12.75" customHeight="1">
      <c r="A417" s="100"/>
      <c r="B417" s="131"/>
      <c r="C417" s="93"/>
      <c r="D417" s="100"/>
      <c r="E417" s="129"/>
      <c r="F417" s="124"/>
      <c r="G417" s="100"/>
    </row>
    <row r="418" ht="12.75" customHeight="1">
      <c r="A418" s="100"/>
      <c r="B418" s="131"/>
      <c r="C418" s="93"/>
      <c r="D418" s="100"/>
      <c r="E418" s="129"/>
      <c r="F418" s="124"/>
      <c r="G418" s="100"/>
    </row>
    <row r="419" ht="12.75" customHeight="1">
      <c r="A419" s="100"/>
      <c r="B419" s="131"/>
      <c r="C419" s="93"/>
      <c r="D419" s="100"/>
      <c r="E419" s="129"/>
      <c r="F419" s="124"/>
      <c r="G419" s="100"/>
    </row>
    <row r="420" ht="12.75" customHeight="1">
      <c r="A420" s="100"/>
      <c r="B420" s="131"/>
      <c r="C420" s="93"/>
      <c r="D420" s="100"/>
      <c r="E420" s="129"/>
      <c r="F420" s="124"/>
      <c r="G420" s="100"/>
    </row>
    <row r="421" ht="12.75" customHeight="1">
      <c r="A421" s="100"/>
      <c r="B421" s="131"/>
      <c r="C421" s="93"/>
      <c r="D421" s="100"/>
      <c r="E421" s="129"/>
      <c r="F421" s="124"/>
      <c r="G421" s="100"/>
    </row>
    <row r="422" ht="12.75" customHeight="1">
      <c r="A422" s="100"/>
      <c r="B422" s="131"/>
      <c r="C422" s="93"/>
      <c r="D422" s="100"/>
      <c r="E422" s="129"/>
      <c r="F422" s="124"/>
      <c r="G422" s="100"/>
    </row>
    <row r="423" ht="12.75" customHeight="1">
      <c r="A423" s="100"/>
      <c r="B423" s="131"/>
      <c r="C423" s="93"/>
      <c r="D423" s="100"/>
      <c r="E423" s="129"/>
      <c r="F423" s="124"/>
      <c r="G423" s="100"/>
    </row>
    <row r="424" ht="12.75" customHeight="1">
      <c r="A424" s="100"/>
      <c r="B424" s="131"/>
      <c r="C424" s="93"/>
      <c r="D424" s="100"/>
      <c r="E424" s="129"/>
      <c r="F424" s="124"/>
      <c r="G424" s="100"/>
    </row>
    <row r="425" ht="12.75" customHeight="1">
      <c r="A425" s="100"/>
      <c r="B425" s="131"/>
      <c r="C425" s="93"/>
      <c r="D425" s="100"/>
      <c r="E425" s="129"/>
      <c r="F425" s="124"/>
      <c r="G425" s="100"/>
    </row>
    <row r="426" ht="12.75" customHeight="1">
      <c r="A426" s="100"/>
      <c r="B426" s="131"/>
      <c r="C426" s="93"/>
      <c r="D426" s="100"/>
      <c r="E426" s="129"/>
      <c r="F426" s="124"/>
      <c r="G426" s="100"/>
    </row>
    <row r="427" ht="12.75" customHeight="1">
      <c r="A427" s="100"/>
      <c r="B427" s="131"/>
      <c r="C427" s="93"/>
      <c r="D427" s="100"/>
      <c r="E427" s="129"/>
      <c r="F427" s="124"/>
      <c r="G427" s="100"/>
    </row>
    <row r="428" ht="12.75" customHeight="1">
      <c r="A428" s="100"/>
      <c r="B428" s="131"/>
      <c r="C428" s="93"/>
      <c r="D428" s="100"/>
      <c r="E428" s="129"/>
      <c r="F428" s="124"/>
      <c r="G428" s="100"/>
    </row>
    <row r="429" ht="12.75" customHeight="1">
      <c r="A429" s="100"/>
      <c r="B429" s="131"/>
      <c r="C429" s="93"/>
      <c r="D429" s="100"/>
      <c r="E429" s="129"/>
      <c r="F429" s="124"/>
      <c r="G429" s="100"/>
    </row>
    <row r="430" ht="12.75" customHeight="1">
      <c r="A430" s="100"/>
      <c r="B430" s="131"/>
      <c r="C430" s="93"/>
      <c r="D430" s="100"/>
      <c r="E430" s="129"/>
      <c r="F430" s="124"/>
      <c r="G430" s="100"/>
    </row>
    <row r="431" ht="12.75" customHeight="1">
      <c r="A431" s="100"/>
      <c r="B431" s="131"/>
      <c r="C431" s="93"/>
      <c r="D431" s="100"/>
      <c r="E431" s="129"/>
      <c r="F431" s="124"/>
      <c r="G431" s="100"/>
    </row>
    <row r="432" ht="12.75" customHeight="1">
      <c r="A432" s="100"/>
      <c r="B432" s="131"/>
      <c r="C432" s="93"/>
      <c r="D432" s="100"/>
      <c r="E432" s="129"/>
      <c r="F432" s="124"/>
      <c r="G432" s="100"/>
    </row>
    <row r="433" ht="12.75" customHeight="1">
      <c r="A433" s="100"/>
      <c r="B433" s="131"/>
      <c r="C433" s="93"/>
      <c r="D433" s="100"/>
      <c r="E433" s="129"/>
      <c r="F433" s="124"/>
      <c r="G433" s="100"/>
    </row>
    <row r="434" ht="12.75" customHeight="1">
      <c r="A434" s="100"/>
      <c r="B434" s="131"/>
      <c r="C434" s="93"/>
      <c r="D434" s="100"/>
      <c r="E434" s="129"/>
      <c r="F434" s="124"/>
      <c r="G434" s="100"/>
    </row>
    <row r="435" ht="12.75" customHeight="1">
      <c r="A435" s="100"/>
      <c r="B435" s="131"/>
      <c r="C435" s="93"/>
      <c r="D435" s="100"/>
      <c r="E435" s="129"/>
      <c r="F435" s="124"/>
      <c r="G435" s="100"/>
    </row>
    <row r="436" ht="12.75" customHeight="1">
      <c r="A436" s="100"/>
      <c r="B436" s="131"/>
      <c r="C436" s="93"/>
      <c r="D436" s="100"/>
      <c r="E436" s="129"/>
      <c r="F436" s="124"/>
      <c r="G436" s="100"/>
    </row>
    <row r="437" ht="12.75" customHeight="1">
      <c r="A437" s="100"/>
      <c r="B437" s="131"/>
      <c r="C437" s="93"/>
      <c r="D437" s="100"/>
      <c r="E437" s="129"/>
      <c r="F437" s="124"/>
      <c r="G437" s="100"/>
    </row>
    <row r="438" ht="12.75" customHeight="1">
      <c r="A438" s="100"/>
      <c r="B438" s="131"/>
      <c r="C438" s="93"/>
      <c r="D438" s="100"/>
      <c r="E438" s="129"/>
      <c r="F438" s="124"/>
      <c r="G438" s="100"/>
    </row>
    <row r="439" ht="12.75" customHeight="1">
      <c r="A439" s="100"/>
      <c r="B439" s="131"/>
      <c r="C439" s="93"/>
      <c r="D439" s="100"/>
      <c r="E439" s="129"/>
      <c r="F439" s="124"/>
      <c r="G439" s="100"/>
    </row>
    <row r="440" ht="12.75" customHeight="1">
      <c r="A440" s="100"/>
      <c r="B440" s="131"/>
      <c r="C440" s="93"/>
      <c r="D440" s="100"/>
      <c r="E440" s="129"/>
      <c r="F440" s="124"/>
      <c r="G440" s="100"/>
    </row>
    <row r="441" ht="12.75" customHeight="1">
      <c r="A441" s="100"/>
      <c r="B441" s="131"/>
      <c r="C441" s="93"/>
      <c r="D441" s="100"/>
      <c r="E441" s="129"/>
      <c r="F441" s="124"/>
      <c r="G441" s="100"/>
    </row>
    <row r="442" ht="12.75" customHeight="1">
      <c r="A442" s="100"/>
      <c r="B442" s="131"/>
      <c r="C442" s="93"/>
      <c r="D442" s="100"/>
      <c r="E442" s="129"/>
      <c r="F442" s="124"/>
      <c r="G442" s="100"/>
    </row>
    <row r="443" ht="12.75" customHeight="1">
      <c r="A443" s="100"/>
      <c r="B443" s="131"/>
      <c r="C443" s="93"/>
      <c r="D443" s="100"/>
      <c r="E443" s="129"/>
      <c r="F443" s="124"/>
      <c r="G443" s="100"/>
    </row>
    <row r="444" ht="12.75" customHeight="1">
      <c r="A444" s="100"/>
      <c r="B444" s="131"/>
      <c r="C444" s="93"/>
      <c r="D444" s="100"/>
      <c r="E444" s="129"/>
      <c r="F444" s="124"/>
      <c r="G444" s="100"/>
    </row>
    <row r="445" ht="12.75" customHeight="1">
      <c r="A445" s="100"/>
      <c r="B445" s="131"/>
      <c r="C445" s="93"/>
      <c r="D445" s="100"/>
      <c r="E445" s="129"/>
      <c r="F445" s="124"/>
      <c r="G445" s="100"/>
    </row>
    <row r="446" ht="12.75" customHeight="1">
      <c r="A446" s="100"/>
      <c r="B446" s="131"/>
      <c r="C446" s="93"/>
      <c r="D446" s="100"/>
      <c r="E446" s="129"/>
      <c r="F446" s="124"/>
      <c r="G446" s="100"/>
    </row>
    <row r="447" ht="12.75" customHeight="1">
      <c r="A447" s="100"/>
      <c r="B447" s="131"/>
      <c r="C447" s="93"/>
      <c r="D447" s="100"/>
      <c r="E447" s="129"/>
      <c r="F447" s="124"/>
      <c r="G447" s="100"/>
    </row>
    <row r="448" ht="12.75" customHeight="1">
      <c r="A448" s="100"/>
      <c r="B448" s="131"/>
      <c r="C448" s="93"/>
      <c r="D448" s="100"/>
      <c r="E448" s="129"/>
      <c r="F448" s="124"/>
      <c r="G448" s="100"/>
    </row>
    <row r="449" ht="12.75" customHeight="1">
      <c r="A449" s="100"/>
      <c r="B449" s="131"/>
      <c r="C449" s="93"/>
      <c r="D449" s="100"/>
      <c r="E449" s="129"/>
      <c r="F449" s="124"/>
      <c r="G449" s="100"/>
    </row>
    <row r="450" ht="12.75" customHeight="1">
      <c r="A450" s="100"/>
      <c r="B450" s="131"/>
      <c r="C450" s="93"/>
      <c r="D450" s="100"/>
      <c r="E450" s="129"/>
      <c r="F450" s="124"/>
      <c r="G450" s="100"/>
    </row>
    <row r="451" ht="12.75" customHeight="1">
      <c r="A451" s="100"/>
      <c r="B451" s="131"/>
      <c r="C451" s="93"/>
      <c r="D451" s="100"/>
      <c r="E451" s="129"/>
      <c r="F451" s="124"/>
      <c r="G451" s="100"/>
    </row>
    <row r="452" ht="12.75" customHeight="1">
      <c r="A452" s="100"/>
      <c r="B452" s="131"/>
      <c r="C452" s="93"/>
      <c r="D452" s="100"/>
      <c r="E452" s="129"/>
      <c r="F452" s="124"/>
      <c r="G452" s="100"/>
    </row>
    <row r="453" ht="12.75" customHeight="1">
      <c r="A453" s="100"/>
      <c r="B453" s="131"/>
      <c r="C453" s="93"/>
      <c r="D453" s="100"/>
      <c r="E453" s="129"/>
      <c r="F453" s="124"/>
      <c r="G453" s="100"/>
    </row>
    <row r="454" ht="12.75" customHeight="1">
      <c r="A454" s="100"/>
      <c r="B454" s="131"/>
      <c r="C454" s="93"/>
      <c r="D454" s="100"/>
      <c r="E454" s="129"/>
      <c r="F454" s="124"/>
      <c r="G454" s="100"/>
    </row>
    <row r="455" ht="12.75" customHeight="1">
      <c r="A455" s="100"/>
      <c r="B455" s="131"/>
      <c r="C455" s="93"/>
      <c r="D455" s="100"/>
      <c r="E455" s="129"/>
      <c r="F455" s="124"/>
      <c r="G455" s="100"/>
    </row>
    <row r="456" ht="12.75" customHeight="1">
      <c r="A456" s="100"/>
      <c r="B456" s="131"/>
      <c r="C456" s="93"/>
      <c r="D456" s="100"/>
      <c r="E456" s="129"/>
      <c r="F456" s="124"/>
      <c r="G456" s="100"/>
    </row>
    <row r="457" ht="12.75" customHeight="1">
      <c r="A457" s="100"/>
      <c r="B457" s="131"/>
      <c r="C457" s="93"/>
      <c r="D457" s="100"/>
      <c r="E457" s="129"/>
      <c r="F457" s="124"/>
      <c r="G457" s="100"/>
    </row>
    <row r="458" ht="12.75" customHeight="1">
      <c r="A458" s="100"/>
      <c r="B458" s="131"/>
      <c r="C458" s="93"/>
      <c r="D458" s="100"/>
      <c r="E458" s="129"/>
      <c r="F458" s="124"/>
      <c r="G458" s="100"/>
    </row>
    <row r="459" ht="12.75" customHeight="1">
      <c r="A459" s="100"/>
      <c r="B459" s="131"/>
      <c r="C459" s="93"/>
      <c r="D459" s="100"/>
      <c r="E459" s="129"/>
      <c r="F459" s="124"/>
      <c r="G459" s="100"/>
    </row>
    <row r="460" ht="12.75" customHeight="1">
      <c r="A460" s="100"/>
      <c r="B460" s="131"/>
      <c r="C460" s="93"/>
      <c r="D460" s="100"/>
      <c r="E460" s="129"/>
      <c r="F460" s="124"/>
      <c r="G460" s="100"/>
    </row>
    <row r="461" ht="12.75" customHeight="1">
      <c r="A461" s="100"/>
      <c r="B461" s="131"/>
      <c r="C461" s="93"/>
      <c r="D461" s="100"/>
      <c r="E461" s="129"/>
      <c r="F461" s="124"/>
      <c r="G461" s="100"/>
    </row>
    <row r="462" ht="12.75" customHeight="1">
      <c r="A462" s="100"/>
      <c r="B462" s="131"/>
      <c r="C462" s="93"/>
      <c r="D462" s="100"/>
      <c r="E462" s="129"/>
      <c r="F462" s="124"/>
      <c r="G462" s="100"/>
    </row>
    <row r="463" ht="12.75" customHeight="1">
      <c r="A463" s="100"/>
      <c r="B463" s="131"/>
      <c r="C463" s="93"/>
      <c r="D463" s="100"/>
      <c r="E463" s="129"/>
      <c r="F463" s="124"/>
      <c r="G463" s="100"/>
    </row>
    <row r="464" ht="12.75" customHeight="1">
      <c r="A464" s="100"/>
      <c r="B464" s="131"/>
      <c r="C464" s="93"/>
      <c r="D464" s="100"/>
      <c r="E464" s="129"/>
      <c r="F464" s="124"/>
      <c r="G464" s="100"/>
    </row>
    <row r="465" ht="12.75" customHeight="1">
      <c r="A465" s="100"/>
      <c r="B465" s="131"/>
      <c r="C465" s="93"/>
      <c r="D465" s="100"/>
      <c r="E465" s="129"/>
      <c r="F465" s="124"/>
      <c r="G465" s="100"/>
    </row>
    <row r="466" ht="12.75" customHeight="1">
      <c r="A466" s="100"/>
      <c r="B466" s="131"/>
      <c r="C466" s="93"/>
      <c r="D466" s="100"/>
      <c r="E466" s="129"/>
      <c r="F466" s="124"/>
      <c r="G466" s="100"/>
    </row>
    <row r="467" ht="12.75" customHeight="1">
      <c r="A467" s="100"/>
      <c r="B467" s="131"/>
      <c r="C467" s="93"/>
      <c r="D467" s="100"/>
      <c r="E467" s="129"/>
      <c r="F467" s="124"/>
      <c r="G467" s="100"/>
    </row>
    <row r="468" ht="12.75" customHeight="1">
      <c r="A468" s="100"/>
      <c r="B468" s="131"/>
      <c r="C468" s="93"/>
      <c r="D468" s="100"/>
      <c r="E468" s="129"/>
      <c r="F468" s="124"/>
      <c r="G468" s="100"/>
    </row>
    <row r="469" ht="12.75" customHeight="1">
      <c r="A469" s="100"/>
      <c r="B469" s="131"/>
      <c r="C469" s="93"/>
      <c r="D469" s="100"/>
      <c r="E469" s="129"/>
      <c r="F469" s="124"/>
      <c r="G469" s="100"/>
    </row>
    <row r="470" ht="12.75" customHeight="1">
      <c r="A470" s="100"/>
      <c r="B470" s="131"/>
      <c r="C470" s="93"/>
      <c r="D470" s="100"/>
      <c r="E470" s="129"/>
      <c r="F470" s="124"/>
      <c r="G470" s="100"/>
    </row>
    <row r="471" ht="12.75" customHeight="1">
      <c r="A471" s="100"/>
      <c r="B471" s="131"/>
      <c r="C471" s="93"/>
      <c r="D471" s="100"/>
      <c r="E471" s="129"/>
      <c r="F471" s="124"/>
      <c r="G471" s="100"/>
    </row>
    <row r="472" ht="12.75" customHeight="1">
      <c r="A472" s="100"/>
      <c r="B472" s="131"/>
      <c r="C472" s="93"/>
      <c r="D472" s="100"/>
      <c r="E472" s="129"/>
      <c r="F472" s="124"/>
      <c r="G472" s="100"/>
    </row>
    <row r="473" ht="12.75" customHeight="1">
      <c r="A473" s="100"/>
      <c r="B473" s="131"/>
      <c r="C473" s="93"/>
      <c r="D473" s="100"/>
      <c r="E473" s="129"/>
      <c r="F473" s="124"/>
      <c r="G473" s="100"/>
    </row>
    <row r="474" ht="12.75" customHeight="1">
      <c r="A474" s="100"/>
      <c r="B474" s="131"/>
      <c r="C474" s="93"/>
      <c r="D474" s="100"/>
      <c r="E474" s="129"/>
      <c r="F474" s="124"/>
      <c r="G474" s="100"/>
    </row>
    <row r="475" ht="12.75" customHeight="1">
      <c r="A475" s="100"/>
      <c r="B475" s="131"/>
      <c r="C475" s="93"/>
      <c r="D475" s="100"/>
      <c r="E475" s="129"/>
      <c r="F475" s="124"/>
      <c r="G475" s="100"/>
    </row>
    <row r="476" ht="12.75" customHeight="1">
      <c r="A476" s="100"/>
      <c r="B476" s="131"/>
      <c r="C476" s="93"/>
      <c r="D476" s="100"/>
      <c r="E476" s="129"/>
      <c r="F476" s="124"/>
      <c r="G476" s="100"/>
    </row>
    <row r="477" ht="12.75" customHeight="1">
      <c r="A477" s="100"/>
      <c r="B477" s="131"/>
      <c r="C477" s="93"/>
      <c r="D477" s="100"/>
      <c r="E477" s="129"/>
      <c r="F477" s="124"/>
      <c r="G477" s="100"/>
    </row>
    <row r="478" ht="12.75" customHeight="1">
      <c r="A478" s="100"/>
      <c r="B478" s="131"/>
      <c r="C478" s="93"/>
      <c r="D478" s="100"/>
      <c r="E478" s="129"/>
      <c r="F478" s="124"/>
      <c r="G478" s="100"/>
    </row>
    <row r="479" ht="12.75" customHeight="1">
      <c r="A479" s="100"/>
      <c r="B479" s="131"/>
      <c r="C479" s="93"/>
      <c r="D479" s="100"/>
      <c r="E479" s="129"/>
      <c r="F479" s="124"/>
      <c r="G479" s="100"/>
    </row>
    <row r="480" ht="12.75" customHeight="1">
      <c r="A480" s="100"/>
      <c r="B480" s="131"/>
      <c r="C480" s="93"/>
      <c r="D480" s="100"/>
      <c r="E480" s="129"/>
      <c r="F480" s="124"/>
      <c r="G480" s="100"/>
    </row>
    <row r="481" ht="12.75" customHeight="1">
      <c r="A481" s="100"/>
      <c r="B481" s="131"/>
      <c r="C481" s="93"/>
      <c r="D481" s="100"/>
      <c r="E481" s="129"/>
      <c r="F481" s="124"/>
      <c r="G481" s="100"/>
    </row>
    <row r="482" ht="12.75" customHeight="1">
      <c r="A482" s="100"/>
      <c r="B482" s="131"/>
      <c r="C482" s="93"/>
      <c r="D482" s="100"/>
      <c r="E482" s="129"/>
      <c r="F482" s="124"/>
      <c r="G482" s="100"/>
    </row>
    <row r="483" ht="12.75" customHeight="1">
      <c r="A483" s="100"/>
      <c r="B483" s="131"/>
      <c r="C483" s="93"/>
      <c r="D483" s="100"/>
      <c r="E483" s="129"/>
      <c r="F483" s="124"/>
      <c r="G483" s="100"/>
    </row>
    <row r="484" ht="12.75" customHeight="1">
      <c r="A484" s="100"/>
      <c r="B484" s="131"/>
      <c r="C484" s="93"/>
      <c r="D484" s="100"/>
      <c r="E484" s="129"/>
      <c r="F484" s="124"/>
      <c r="G484" s="100"/>
    </row>
    <row r="485" ht="12.75" customHeight="1">
      <c r="A485" s="100"/>
      <c r="B485" s="131"/>
      <c r="C485" s="93"/>
      <c r="D485" s="100"/>
      <c r="E485" s="129"/>
      <c r="F485" s="124"/>
      <c r="G485" s="100"/>
    </row>
    <row r="486" ht="12.75" customHeight="1">
      <c r="A486" s="100"/>
      <c r="B486" s="131"/>
      <c r="C486" s="93"/>
      <c r="D486" s="100"/>
      <c r="E486" s="129"/>
      <c r="F486" s="124"/>
      <c r="G486" s="100"/>
    </row>
    <row r="487" ht="12.75" customHeight="1">
      <c r="A487" s="100"/>
      <c r="B487" s="131"/>
      <c r="C487" s="93"/>
      <c r="D487" s="100"/>
      <c r="E487" s="129"/>
      <c r="F487" s="124"/>
      <c r="G487" s="100"/>
    </row>
    <row r="488" ht="12.75" customHeight="1">
      <c r="A488" s="100"/>
      <c r="B488" s="131"/>
      <c r="C488" s="93"/>
      <c r="D488" s="100"/>
      <c r="E488" s="129"/>
      <c r="F488" s="124"/>
      <c r="G488" s="100"/>
    </row>
    <row r="489" ht="12.75" customHeight="1">
      <c r="A489" s="100"/>
      <c r="B489" s="131"/>
      <c r="C489" s="93"/>
      <c r="D489" s="100"/>
      <c r="E489" s="129"/>
      <c r="F489" s="124"/>
      <c r="G489" s="100"/>
    </row>
    <row r="490" ht="12.75" customHeight="1">
      <c r="A490" s="100"/>
      <c r="B490" s="131"/>
      <c r="C490" s="93"/>
      <c r="D490" s="100"/>
      <c r="E490" s="129"/>
      <c r="F490" s="124"/>
      <c r="G490" s="100"/>
    </row>
    <row r="491" ht="12.75" customHeight="1">
      <c r="A491" s="100"/>
      <c r="B491" s="131"/>
      <c r="C491" s="93"/>
      <c r="D491" s="100"/>
      <c r="E491" s="129"/>
      <c r="F491" s="124"/>
      <c r="G491" s="100"/>
    </row>
    <row r="492" ht="12.75" customHeight="1">
      <c r="A492" s="100"/>
      <c r="B492" s="131"/>
      <c r="C492" s="93"/>
      <c r="D492" s="100"/>
      <c r="E492" s="129"/>
      <c r="F492" s="124"/>
      <c r="G492" s="100"/>
    </row>
    <row r="493" ht="12.75" customHeight="1">
      <c r="A493" s="100"/>
      <c r="B493" s="131"/>
      <c r="C493" s="93"/>
      <c r="D493" s="100"/>
      <c r="E493" s="129"/>
      <c r="F493" s="124"/>
      <c r="G493" s="100"/>
    </row>
    <row r="494" ht="12.75" customHeight="1">
      <c r="A494" s="100"/>
      <c r="B494" s="131"/>
      <c r="C494" s="93"/>
      <c r="D494" s="100"/>
      <c r="E494" s="129"/>
      <c r="F494" s="124"/>
      <c r="G494" s="100"/>
    </row>
    <row r="495" ht="12.75" customHeight="1">
      <c r="A495" s="100"/>
      <c r="B495" s="131"/>
      <c r="C495" s="93"/>
      <c r="D495" s="100"/>
      <c r="E495" s="129"/>
      <c r="F495" s="124"/>
      <c r="G495" s="100"/>
    </row>
    <row r="496" ht="12.75" customHeight="1">
      <c r="A496" s="100"/>
      <c r="B496" s="131"/>
      <c r="C496" s="93"/>
      <c r="D496" s="100"/>
      <c r="E496" s="129"/>
      <c r="F496" s="124"/>
      <c r="G496" s="100"/>
    </row>
    <row r="497" ht="12.75" customHeight="1">
      <c r="A497" s="100"/>
      <c r="B497" s="131"/>
      <c r="C497" s="93"/>
      <c r="D497" s="100"/>
      <c r="E497" s="129"/>
      <c r="F497" s="124"/>
      <c r="G497" s="100"/>
    </row>
    <row r="498" ht="12.75" customHeight="1">
      <c r="A498" s="100"/>
      <c r="B498" s="131"/>
      <c r="C498" s="93"/>
      <c r="D498" s="100"/>
      <c r="E498" s="129"/>
      <c r="F498" s="124"/>
      <c r="G498" s="100"/>
    </row>
    <row r="499" ht="12.75" customHeight="1">
      <c r="A499" s="100"/>
      <c r="B499" s="131"/>
      <c r="C499" s="93"/>
      <c r="D499" s="100"/>
      <c r="E499" s="129"/>
      <c r="F499" s="124"/>
      <c r="G499" s="100"/>
    </row>
    <row r="500" ht="12.75" customHeight="1">
      <c r="A500" s="100"/>
      <c r="B500" s="131"/>
      <c r="C500" s="93"/>
      <c r="D500" s="100"/>
      <c r="E500" s="129"/>
      <c r="F500" s="124"/>
      <c r="G500" s="100"/>
    </row>
    <row r="501" ht="12.75" customHeight="1">
      <c r="A501" s="100"/>
      <c r="B501" s="131"/>
      <c r="C501" s="93"/>
      <c r="D501" s="100"/>
      <c r="E501" s="129"/>
      <c r="F501" s="124"/>
      <c r="G501" s="100"/>
    </row>
    <row r="502" ht="12.75" customHeight="1">
      <c r="A502" s="100"/>
      <c r="B502" s="131"/>
      <c r="C502" s="93"/>
      <c r="D502" s="100"/>
      <c r="E502" s="129"/>
      <c r="F502" s="124"/>
      <c r="G502" s="100"/>
    </row>
    <row r="503" ht="12.75" customHeight="1">
      <c r="A503" s="100"/>
      <c r="B503" s="131"/>
      <c r="C503" s="93"/>
      <c r="D503" s="100"/>
      <c r="E503" s="129"/>
      <c r="F503" s="124"/>
      <c r="G503" s="100"/>
    </row>
    <row r="504" ht="12.75" customHeight="1">
      <c r="A504" s="100"/>
      <c r="B504" s="131"/>
      <c r="C504" s="93"/>
      <c r="D504" s="100"/>
      <c r="E504" s="129"/>
      <c r="F504" s="124"/>
      <c r="G504" s="100"/>
    </row>
    <row r="505" ht="12.75" customHeight="1">
      <c r="A505" s="100"/>
      <c r="B505" s="131"/>
      <c r="C505" s="93"/>
      <c r="D505" s="100"/>
      <c r="E505" s="129"/>
      <c r="F505" s="124"/>
      <c r="G505" s="100"/>
    </row>
    <row r="506" ht="12.75" customHeight="1">
      <c r="A506" s="100"/>
      <c r="B506" s="131"/>
      <c r="C506" s="93"/>
      <c r="D506" s="100"/>
      <c r="E506" s="129"/>
      <c r="F506" s="124"/>
      <c r="G506" s="100"/>
    </row>
    <row r="507" ht="12.75" customHeight="1">
      <c r="A507" s="100"/>
      <c r="B507" s="131"/>
      <c r="C507" s="93"/>
      <c r="D507" s="100"/>
      <c r="E507" s="129"/>
      <c r="F507" s="124"/>
      <c r="G507" s="100"/>
    </row>
    <row r="508" ht="12.75" customHeight="1">
      <c r="A508" s="100"/>
      <c r="B508" s="131"/>
      <c r="C508" s="93"/>
      <c r="D508" s="100"/>
      <c r="E508" s="129"/>
      <c r="F508" s="124"/>
      <c r="G508" s="100"/>
    </row>
    <row r="509" ht="12.75" customHeight="1">
      <c r="A509" s="100"/>
      <c r="B509" s="131"/>
      <c r="C509" s="93"/>
      <c r="D509" s="100"/>
      <c r="E509" s="129"/>
      <c r="F509" s="124"/>
      <c r="G509" s="100"/>
    </row>
    <row r="510" ht="12.75" customHeight="1">
      <c r="A510" s="100"/>
      <c r="B510" s="131"/>
      <c r="C510" s="93"/>
      <c r="D510" s="100"/>
      <c r="E510" s="129"/>
      <c r="F510" s="124"/>
      <c r="G510" s="100"/>
    </row>
    <row r="511" ht="12.75" customHeight="1">
      <c r="A511" s="100"/>
      <c r="B511" s="131"/>
      <c r="C511" s="93"/>
      <c r="D511" s="100"/>
      <c r="E511" s="129"/>
      <c r="F511" s="124"/>
      <c r="G511" s="100"/>
    </row>
    <row r="512" ht="12.75" customHeight="1">
      <c r="A512" s="100"/>
      <c r="B512" s="131"/>
      <c r="C512" s="93"/>
      <c r="D512" s="100"/>
      <c r="E512" s="129"/>
      <c r="F512" s="124"/>
      <c r="G512" s="100"/>
    </row>
    <row r="513" ht="12.75" customHeight="1">
      <c r="A513" s="100"/>
      <c r="B513" s="131"/>
      <c r="C513" s="93"/>
      <c r="D513" s="100"/>
      <c r="E513" s="129"/>
      <c r="F513" s="124"/>
      <c r="G513" s="100"/>
    </row>
    <row r="514" ht="12.75" customHeight="1">
      <c r="A514" s="100"/>
      <c r="B514" s="131"/>
      <c r="C514" s="93"/>
      <c r="D514" s="100"/>
      <c r="E514" s="129"/>
      <c r="F514" s="124"/>
      <c r="G514" s="100"/>
    </row>
    <row r="515" ht="12.75" customHeight="1">
      <c r="A515" s="100"/>
      <c r="B515" s="131"/>
      <c r="C515" s="93"/>
      <c r="D515" s="100"/>
      <c r="E515" s="129"/>
      <c r="F515" s="124"/>
      <c r="G515" s="100"/>
    </row>
    <row r="516" ht="12.75" customHeight="1">
      <c r="A516" s="100"/>
      <c r="B516" s="131"/>
      <c r="C516" s="93"/>
      <c r="D516" s="100"/>
      <c r="E516" s="129"/>
      <c r="F516" s="124"/>
      <c r="G516" s="100"/>
    </row>
    <row r="517" ht="12.75" customHeight="1">
      <c r="A517" s="100"/>
      <c r="B517" s="131"/>
      <c r="C517" s="93"/>
      <c r="D517" s="100"/>
      <c r="E517" s="129"/>
      <c r="F517" s="124"/>
      <c r="G517" s="100"/>
    </row>
    <row r="518" ht="12.75" customHeight="1">
      <c r="A518" s="100"/>
      <c r="B518" s="131"/>
      <c r="C518" s="93"/>
      <c r="D518" s="100"/>
      <c r="E518" s="129"/>
      <c r="F518" s="124"/>
      <c r="G518" s="100"/>
    </row>
    <row r="519" ht="12.75" customHeight="1">
      <c r="A519" s="100"/>
      <c r="B519" s="131"/>
      <c r="C519" s="93"/>
      <c r="D519" s="100"/>
      <c r="E519" s="129"/>
      <c r="F519" s="124"/>
      <c r="G519" s="100"/>
    </row>
    <row r="520" ht="12.75" customHeight="1">
      <c r="A520" s="100"/>
      <c r="B520" s="131"/>
      <c r="C520" s="93"/>
      <c r="D520" s="100"/>
      <c r="E520" s="129"/>
      <c r="F520" s="124"/>
      <c r="G520" s="100"/>
    </row>
    <row r="521" ht="12.75" customHeight="1">
      <c r="A521" s="100"/>
      <c r="B521" s="131"/>
      <c r="C521" s="93"/>
      <c r="D521" s="100"/>
      <c r="E521" s="129"/>
      <c r="F521" s="124"/>
      <c r="G521" s="100"/>
    </row>
    <row r="522" ht="12.75" customHeight="1">
      <c r="A522" s="100"/>
      <c r="B522" s="131"/>
      <c r="C522" s="93"/>
      <c r="D522" s="100"/>
      <c r="E522" s="129"/>
      <c r="F522" s="124"/>
      <c r="G522" s="100"/>
    </row>
    <row r="523" ht="12.75" customHeight="1">
      <c r="A523" s="100"/>
      <c r="B523" s="131"/>
      <c r="C523" s="93"/>
      <c r="D523" s="100"/>
      <c r="E523" s="129"/>
      <c r="F523" s="124"/>
      <c r="G523" s="100"/>
    </row>
    <row r="524" ht="12.75" customHeight="1">
      <c r="A524" s="100"/>
      <c r="B524" s="131"/>
      <c r="C524" s="93"/>
      <c r="D524" s="100"/>
      <c r="E524" s="129"/>
      <c r="F524" s="124"/>
      <c r="G524" s="100"/>
    </row>
    <row r="525" ht="12.75" customHeight="1">
      <c r="A525" s="100"/>
      <c r="B525" s="131"/>
      <c r="C525" s="93"/>
      <c r="D525" s="100"/>
      <c r="E525" s="129"/>
      <c r="F525" s="124"/>
      <c r="G525" s="100"/>
    </row>
    <row r="526" ht="12.75" customHeight="1">
      <c r="A526" s="100"/>
      <c r="B526" s="131"/>
      <c r="C526" s="93"/>
      <c r="D526" s="100"/>
      <c r="E526" s="129"/>
      <c r="F526" s="124"/>
      <c r="G526" s="100"/>
    </row>
    <row r="527" ht="12.75" customHeight="1">
      <c r="A527" s="100"/>
      <c r="B527" s="131"/>
      <c r="C527" s="93"/>
      <c r="D527" s="100"/>
      <c r="E527" s="129"/>
      <c r="F527" s="124"/>
      <c r="G527" s="100"/>
    </row>
    <row r="528" ht="12.75" customHeight="1">
      <c r="A528" s="100"/>
      <c r="B528" s="131"/>
      <c r="C528" s="93"/>
      <c r="D528" s="100"/>
      <c r="E528" s="129"/>
      <c r="F528" s="124"/>
      <c r="G528" s="100"/>
    </row>
    <row r="529" ht="12.75" customHeight="1">
      <c r="A529" s="100"/>
      <c r="B529" s="131"/>
      <c r="C529" s="93"/>
      <c r="D529" s="100"/>
      <c r="E529" s="129"/>
      <c r="F529" s="124"/>
      <c r="G529" s="100"/>
    </row>
    <row r="530" ht="12.75" customHeight="1">
      <c r="A530" s="100"/>
      <c r="B530" s="131"/>
      <c r="C530" s="93"/>
      <c r="D530" s="100"/>
      <c r="E530" s="129"/>
      <c r="F530" s="124"/>
      <c r="G530" s="100"/>
    </row>
    <row r="531" ht="12.75" customHeight="1">
      <c r="A531" s="100"/>
      <c r="B531" s="131"/>
      <c r="C531" s="93"/>
      <c r="D531" s="100"/>
      <c r="E531" s="129"/>
      <c r="F531" s="124"/>
      <c r="G531" s="100"/>
    </row>
    <row r="532" ht="12.75" customHeight="1">
      <c r="A532" s="100"/>
      <c r="B532" s="131"/>
      <c r="C532" s="93"/>
      <c r="D532" s="100"/>
      <c r="E532" s="129"/>
      <c r="F532" s="124"/>
      <c r="G532" s="100"/>
    </row>
    <row r="533" ht="12.75" customHeight="1">
      <c r="A533" s="100"/>
      <c r="B533" s="131"/>
      <c r="C533" s="93"/>
      <c r="D533" s="100"/>
      <c r="E533" s="129"/>
      <c r="F533" s="124"/>
      <c r="G533" s="100"/>
    </row>
    <row r="534" ht="12.75" customHeight="1">
      <c r="A534" s="100"/>
      <c r="B534" s="131"/>
      <c r="C534" s="93"/>
      <c r="D534" s="100"/>
      <c r="E534" s="129"/>
      <c r="F534" s="124"/>
      <c r="G534" s="100"/>
    </row>
    <row r="535" ht="12.75" customHeight="1">
      <c r="A535" s="100"/>
      <c r="B535" s="131"/>
      <c r="C535" s="93"/>
      <c r="D535" s="100"/>
      <c r="E535" s="129"/>
      <c r="F535" s="124"/>
      <c r="G535" s="100"/>
    </row>
    <row r="536" ht="12.75" customHeight="1">
      <c r="A536" s="100"/>
      <c r="B536" s="131"/>
      <c r="C536" s="93"/>
      <c r="D536" s="100"/>
      <c r="E536" s="129"/>
      <c r="F536" s="124"/>
      <c r="G536" s="100"/>
    </row>
    <row r="537" ht="12.75" customHeight="1">
      <c r="A537" s="100"/>
      <c r="B537" s="131"/>
      <c r="C537" s="93"/>
      <c r="D537" s="100"/>
      <c r="E537" s="129"/>
      <c r="F537" s="124"/>
      <c r="G537" s="100"/>
    </row>
    <row r="538" ht="12.75" customHeight="1">
      <c r="A538" s="100"/>
      <c r="B538" s="131"/>
      <c r="C538" s="93"/>
      <c r="D538" s="100"/>
      <c r="E538" s="129"/>
      <c r="F538" s="124"/>
      <c r="G538" s="100"/>
    </row>
    <row r="539" ht="12.75" customHeight="1">
      <c r="A539" s="100"/>
      <c r="B539" s="131"/>
      <c r="C539" s="93"/>
      <c r="D539" s="100"/>
      <c r="E539" s="129"/>
      <c r="F539" s="124"/>
      <c r="G539" s="100"/>
    </row>
    <row r="540" ht="12.75" customHeight="1">
      <c r="A540" s="100"/>
      <c r="B540" s="131"/>
      <c r="C540" s="93"/>
      <c r="D540" s="100"/>
      <c r="E540" s="129"/>
      <c r="F540" s="124"/>
      <c r="G540" s="100"/>
    </row>
    <row r="541" ht="12.75" customHeight="1">
      <c r="A541" s="100"/>
      <c r="B541" s="131"/>
      <c r="C541" s="93"/>
      <c r="D541" s="100"/>
      <c r="E541" s="129"/>
      <c r="F541" s="124"/>
      <c r="G541" s="100"/>
    </row>
    <row r="542" ht="12.75" customHeight="1">
      <c r="A542" s="100"/>
      <c r="B542" s="131"/>
      <c r="C542" s="93"/>
      <c r="D542" s="100"/>
      <c r="E542" s="129"/>
      <c r="F542" s="124"/>
      <c r="G542" s="100"/>
    </row>
    <row r="543" ht="12.75" customHeight="1">
      <c r="A543" s="100"/>
      <c r="B543" s="131"/>
      <c r="C543" s="93"/>
      <c r="D543" s="100"/>
      <c r="E543" s="129"/>
      <c r="F543" s="124"/>
      <c r="G543" s="100"/>
    </row>
    <row r="544" ht="12.75" customHeight="1">
      <c r="A544" s="100"/>
      <c r="B544" s="131"/>
      <c r="C544" s="93"/>
      <c r="D544" s="100"/>
      <c r="E544" s="129"/>
      <c r="F544" s="124"/>
      <c r="G544" s="100"/>
    </row>
    <row r="545" ht="12.75" customHeight="1">
      <c r="A545" s="100"/>
      <c r="B545" s="131"/>
      <c r="C545" s="93"/>
      <c r="D545" s="100"/>
      <c r="E545" s="129"/>
      <c r="F545" s="124"/>
      <c r="G545" s="100"/>
    </row>
    <row r="546" ht="12.75" customHeight="1">
      <c r="A546" s="100"/>
      <c r="B546" s="131"/>
      <c r="C546" s="93"/>
      <c r="D546" s="100"/>
      <c r="E546" s="129"/>
      <c r="F546" s="124"/>
      <c r="G546" s="100"/>
    </row>
    <row r="547" ht="12.75" customHeight="1">
      <c r="A547" s="100"/>
      <c r="B547" s="131"/>
      <c r="C547" s="93"/>
      <c r="D547" s="100"/>
      <c r="E547" s="129"/>
      <c r="F547" s="124"/>
      <c r="G547" s="100"/>
    </row>
    <row r="548" ht="12.75" customHeight="1">
      <c r="A548" s="100"/>
      <c r="B548" s="131"/>
      <c r="C548" s="93"/>
      <c r="D548" s="100"/>
      <c r="E548" s="129"/>
      <c r="F548" s="124"/>
      <c r="G548" s="100"/>
    </row>
    <row r="549" ht="12.75" customHeight="1">
      <c r="A549" s="100"/>
      <c r="B549" s="131"/>
      <c r="C549" s="93"/>
      <c r="D549" s="100"/>
      <c r="E549" s="129"/>
      <c r="F549" s="124"/>
      <c r="G549" s="100"/>
    </row>
    <row r="550" ht="12.75" customHeight="1">
      <c r="A550" s="100"/>
      <c r="B550" s="131"/>
      <c r="C550" s="93"/>
      <c r="D550" s="100"/>
      <c r="E550" s="129"/>
      <c r="F550" s="124"/>
      <c r="G550" s="100"/>
    </row>
    <row r="551" ht="12.75" customHeight="1">
      <c r="A551" s="100"/>
      <c r="B551" s="131"/>
      <c r="C551" s="93"/>
      <c r="D551" s="100"/>
      <c r="E551" s="129"/>
      <c r="F551" s="124"/>
      <c r="G551" s="100"/>
    </row>
    <row r="552" ht="12.75" customHeight="1">
      <c r="A552" s="100"/>
      <c r="B552" s="131"/>
      <c r="C552" s="93"/>
      <c r="D552" s="100"/>
      <c r="E552" s="129"/>
      <c r="F552" s="124"/>
      <c r="G552" s="100"/>
    </row>
    <row r="553" ht="12.75" customHeight="1">
      <c r="A553" s="100"/>
      <c r="B553" s="131"/>
      <c r="C553" s="93"/>
      <c r="D553" s="100"/>
      <c r="E553" s="129"/>
      <c r="F553" s="124"/>
      <c r="G553" s="100"/>
    </row>
    <row r="554" ht="12.75" customHeight="1">
      <c r="A554" s="100"/>
      <c r="B554" s="131"/>
      <c r="C554" s="93"/>
      <c r="D554" s="100"/>
      <c r="E554" s="129"/>
      <c r="F554" s="124"/>
      <c r="G554" s="100"/>
    </row>
    <row r="555" ht="12.75" customHeight="1">
      <c r="A555" s="100"/>
      <c r="B555" s="131"/>
      <c r="C555" s="93"/>
      <c r="D555" s="100"/>
      <c r="E555" s="129"/>
      <c r="F555" s="124"/>
      <c r="G555" s="100"/>
    </row>
    <row r="556" ht="12.75" customHeight="1">
      <c r="A556" s="100"/>
      <c r="B556" s="131"/>
      <c r="C556" s="93"/>
      <c r="D556" s="100"/>
      <c r="E556" s="129"/>
      <c r="F556" s="124"/>
      <c r="G556" s="100"/>
    </row>
    <row r="557" ht="12.75" customHeight="1">
      <c r="A557" s="100"/>
      <c r="B557" s="131"/>
      <c r="C557" s="93"/>
      <c r="D557" s="100"/>
      <c r="E557" s="129"/>
      <c r="F557" s="124"/>
      <c r="G557" s="100"/>
    </row>
    <row r="558" ht="12.75" customHeight="1">
      <c r="A558" s="100"/>
      <c r="B558" s="131"/>
      <c r="C558" s="93"/>
      <c r="D558" s="100"/>
      <c r="E558" s="129"/>
      <c r="F558" s="124"/>
      <c r="G558" s="100"/>
    </row>
    <row r="559" ht="12.75" customHeight="1">
      <c r="A559" s="100"/>
      <c r="B559" s="131"/>
      <c r="C559" s="93"/>
      <c r="D559" s="100"/>
      <c r="E559" s="129"/>
      <c r="F559" s="124"/>
      <c r="G559" s="100"/>
    </row>
    <row r="560" ht="12.75" customHeight="1">
      <c r="A560" s="100"/>
      <c r="B560" s="131"/>
      <c r="C560" s="93"/>
      <c r="D560" s="100"/>
      <c r="E560" s="129"/>
      <c r="F560" s="124"/>
      <c r="G560" s="100"/>
    </row>
    <row r="561" ht="12.75" customHeight="1">
      <c r="A561" s="100"/>
      <c r="B561" s="131"/>
      <c r="C561" s="93"/>
      <c r="D561" s="100"/>
      <c r="E561" s="129"/>
      <c r="F561" s="124"/>
      <c r="G561" s="100"/>
    </row>
    <row r="562" ht="12.75" customHeight="1">
      <c r="A562" s="100"/>
      <c r="B562" s="131"/>
      <c r="C562" s="93"/>
      <c r="D562" s="100"/>
      <c r="E562" s="129"/>
      <c r="F562" s="124"/>
      <c r="G562" s="100"/>
    </row>
    <row r="563" ht="12.75" customHeight="1">
      <c r="A563" s="100"/>
      <c r="B563" s="131"/>
      <c r="C563" s="93"/>
      <c r="D563" s="100"/>
      <c r="E563" s="129"/>
      <c r="F563" s="124"/>
      <c r="G563" s="100"/>
    </row>
    <row r="564" ht="12.75" customHeight="1">
      <c r="A564" s="100"/>
      <c r="B564" s="131"/>
      <c r="C564" s="93"/>
      <c r="D564" s="100"/>
      <c r="E564" s="129"/>
      <c r="F564" s="124"/>
      <c r="G564" s="100"/>
    </row>
    <row r="565" ht="12.75" customHeight="1">
      <c r="A565" s="100"/>
      <c r="B565" s="131"/>
      <c r="C565" s="93"/>
      <c r="D565" s="100"/>
      <c r="E565" s="129"/>
      <c r="F565" s="124"/>
      <c r="G565" s="100"/>
    </row>
    <row r="566" ht="12.75" customHeight="1">
      <c r="A566" s="100"/>
      <c r="B566" s="131"/>
      <c r="C566" s="93"/>
      <c r="D566" s="100"/>
      <c r="E566" s="129"/>
      <c r="F566" s="124"/>
      <c r="G566" s="100"/>
    </row>
    <row r="567" ht="12.75" customHeight="1">
      <c r="A567" s="100"/>
      <c r="B567" s="131"/>
      <c r="C567" s="93"/>
      <c r="D567" s="100"/>
      <c r="E567" s="129"/>
      <c r="F567" s="124"/>
      <c r="G567" s="100"/>
    </row>
    <row r="568" ht="12.75" customHeight="1">
      <c r="A568" s="100"/>
      <c r="B568" s="131"/>
      <c r="C568" s="93"/>
      <c r="D568" s="100"/>
      <c r="E568" s="129"/>
      <c r="F568" s="124"/>
      <c r="G568" s="100"/>
    </row>
    <row r="569" ht="12.75" customHeight="1">
      <c r="A569" s="100"/>
      <c r="B569" s="131"/>
      <c r="C569" s="93"/>
      <c r="D569" s="100"/>
      <c r="E569" s="129"/>
      <c r="F569" s="124"/>
      <c r="G569" s="100"/>
    </row>
    <row r="570" ht="12.75" customHeight="1">
      <c r="A570" s="100"/>
      <c r="B570" s="131"/>
      <c r="C570" s="93"/>
      <c r="D570" s="100"/>
      <c r="E570" s="129"/>
      <c r="F570" s="124"/>
      <c r="G570" s="100"/>
    </row>
    <row r="571" ht="12.75" customHeight="1">
      <c r="A571" s="100"/>
      <c r="B571" s="131"/>
      <c r="C571" s="93"/>
      <c r="D571" s="100"/>
      <c r="E571" s="129"/>
      <c r="F571" s="124"/>
      <c r="G571" s="100"/>
    </row>
    <row r="572" ht="12.75" customHeight="1">
      <c r="A572" s="100"/>
      <c r="B572" s="131"/>
      <c r="C572" s="93"/>
      <c r="D572" s="100"/>
      <c r="E572" s="129"/>
      <c r="F572" s="124"/>
      <c r="G572" s="100"/>
    </row>
    <row r="573" ht="12.75" customHeight="1">
      <c r="A573" s="100"/>
      <c r="B573" s="131"/>
      <c r="C573" s="93"/>
      <c r="D573" s="100"/>
      <c r="E573" s="129"/>
      <c r="F573" s="124"/>
      <c r="G573" s="100"/>
    </row>
    <row r="574" ht="12.75" customHeight="1">
      <c r="A574" s="100"/>
      <c r="B574" s="131"/>
      <c r="C574" s="93"/>
      <c r="D574" s="100"/>
      <c r="E574" s="129"/>
      <c r="F574" s="124"/>
      <c r="G574" s="100"/>
    </row>
    <row r="575" ht="12.75" customHeight="1">
      <c r="A575" s="100"/>
      <c r="B575" s="131"/>
      <c r="C575" s="93"/>
      <c r="D575" s="100"/>
      <c r="E575" s="129"/>
      <c r="F575" s="124"/>
      <c r="G575" s="100"/>
    </row>
    <row r="576" ht="12.75" customHeight="1">
      <c r="A576" s="100"/>
      <c r="B576" s="131"/>
      <c r="C576" s="93"/>
      <c r="D576" s="100"/>
      <c r="E576" s="129"/>
      <c r="F576" s="124"/>
      <c r="G576" s="100"/>
    </row>
    <row r="577" ht="12.75" customHeight="1">
      <c r="A577" s="100"/>
      <c r="B577" s="131"/>
      <c r="C577" s="93"/>
      <c r="D577" s="100"/>
      <c r="E577" s="129"/>
      <c r="F577" s="124"/>
      <c r="G577" s="100"/>
    </row>
    <row r="578" ht="12.75" customHeight="1">
      <c r="A578" s="100"/>
      <c r="B578" s="131"/>
      <c r="C578" s="93"/>
      <c r="D578" s="100"/>
      <c r="E578" s="129"/>
      <c r="F578" s="124"/>
      <c r="G578" s="100"/>
    </row>
    <row r="579" ht="12.75" customHeight="1">
      <c r="A579" s="100"/>
      <c r="B579" s="131"/>
      <c r="C579" s="93"/>
      <c r="D579" s="100"/>
      <c r="E579" s="129"/>
      <c r="F579" s="124"/>
      <c r="G579" s="100"/>
    </row>
    <row r="580" ht="12.75" customHeight="1">
      <c r="A580" s="100"/>
      <c r="B580" s="131"/>
      <c r="C580" s="93"/>
      <c r="D580" s="100"/>
      <c r="E580" s="129"/>
      <c r="F580" s="124"/>
      <c r="G580" s="100"/>
    </row>
    <row r="581" ht="12.75" customHeight="1">
      <c r="A581" s="100"/>
      <c r="B581" s="131"/>
      <c r="C581" s="93"/>
      <c r="D581" s="100"/>
      <c r="E581" s="129"/>
      <c r="F581" s="124"/>
      <c r="G581" s="100"/>
    </row>
    <row r="582" ht="12.75" customHeight="1">
      <c r="A582" s="100"/>
      <c r="B582" s="131"/>
      <c r="C582" s="93"/>
      <c r="D582" s="100"/>
      <c r="E582" s="129"/>
      <c r="F582" s="124"/>
      <c r="G582" s="100"/>
    </row>
    <row r="583" ht="12.75" customHeight="1">
      <c r="A583" s="100"/>
      <c r="B583" s="131"/>
      <c r="C583" s="93"/>
      <c r="D583" s="100"/>
      <c r="E583" s="129"/>
      <c r="F583" s="124"/>
      <c r="G583" s="100"/>
    </row>
    <row r="584" ht="12.75" customHeight="1">
      <c r="A584" s="100"/>
      <c r="B584" s="131"/>
      <c r="C584" s="93"/>
      <c r="D584" s="100"/>
      <c r="E584" s="129"/>
      <c r="F584" s="124"/>
      <c r="G584" s="100"/>
    </row>
    <row r="585" ht="12.75" customHeight="1">
      <c r="A585" s="100"/>
      <c r="B585" s="131"/>
      <c r="C585" s="93"/>
      <c r="D585" s="100"/>
      <c r="E585" s="129"/>
      <c r="F585" s="124"/>
      <c r="G585" s="100"/>
    </row>
    <row r="586" ht="12.75" customHeight="1">
      <c r="A586" s="100"/>
      <c r="B586" s="131"/>
      <c r="C586" s="93"/>
      <c r="D586" s="100"/>
      <c r="E586" s="129"/>
      <c r="F586" s="124"/>
      <c r="G586" s="100"/>
    </row>
    <row r="587" ht="12.75" customHeight="1">
      <c r="A587" s="100"/>
      <c r="B587" s="131"/>
      <c r="C587" s="93"/>
      <c r="D587" s="100"/>
      <c r="E587" s="129"/>
      <c r="F587" s="124"/>
      <c r="G587" s="100"/>
    </row>
    <row r="588" ht="12.75" customHeight="1">
      <c r="A588" s="100"/>
      <c r="B588" s="131"/>
      <c r="C588" s="93"/>
      <c r="D588" s="100"/>
      <c r="E588" s="129"/>
      <c r="F588" s="124"/>
      <c r="G588" s="100"/>
    </row>
    <row r="589" ht="12.75" customHeight="1">
      <c r="A589" s="100"/>
      <c r="B589" s="131"/>
      <c r="C589" s="93"/>
      <c r="D589" s="100"/>
      <c r="E589" s="129"/>
      <c r="F589" s="124"/>
      <c r="G589" s="100"/>
    </row>
    <row r="590" ht="12.75" customHeight="1">
      <c r="A590" s="100"/>
      <c r="B590" s="131"/>
      <c r="C590" s="93"/>
      <c r="D590" s="100"/>
      <c r="E590" s="129"/>
      <c r="F590" s="124"/>
      <c r="G590" s="100"/>
    </row>
    <row r="591" ht="12.75" customHeight="1">
      <c r="A591" s="100"/>
      <c r="B591" s="131"/>
      <c r="C591" s="93"/>
      <c r="D591" s="100"/>
      <c r="E591" s="129"/>
      <c r="F591" s="124"/>
      <c r="G591" s="100"/>
    </row>
    <row r="592" ht="12.75" customHeight="1">
      <c r="A592" s="100"/>
      <c r="B592" s="131"/>
      <c r="C592" s="93"/>
      <c r="D592" s="100"/>
      <c r="E592" s="129"/>
      <c r="F592" s="124"/>
      <c r="G592" s="100"/>
    </row>
    <row r="593" ht="12.75" customHeight="1">
      <c r="A593" s="100"/>
      <c r="B593" s="131"/>
      <c r="C593" s="93"/>
      <c r="D593" s="100"/>
      <c r="E593" s="129"/>
      <c r="F593" s="124"/>
      <c r="G593" s="100"/>
    </row>
    <row r="594" ht="12.75" customHeight="1">
      <c r="A594" s="100"/>
      <c r="B594" s="131"/>
      <c r="C594" s="93"/>
      <c r="D594" s="100"/>
      <c r="E594" s="129"/>
      <c r="F594" s="124"/>
      <c r="G594" s="100"/>
    </row>
    <row r="595" ht="12.75" customHeight="1">
      <c r="A595" s="100"/>
      <c r="B595" s="131"/>
      <c r="C595" s="93"/>
      <c r="D595" s="100"/>
      <c r="E595" s="129"/>
      <c r="F595" s="124"/>
      <c r="G595" s="100"/>
    </row>
    <row r="596" ht="12.75" customHeight="1">
      <c r="A596" s="100"/>
      <c r="B596" s="131"/>
      <c r="C596" s="93"/>
      <c r="D596" s="100"/>
      <c r="E596" s="129"/>
      <c r="F596" s="124"/>
      <c r="G596" s="100"/>
    </row>
    <row r="597" ht="12.75" customHeight="1">
      <c r="A597" s="100"/>
      <c r="B597" s="131"/>
      <c r="C597" s="93"/>
      <c r="D597" s="100"/>
      <c r="E597" s="129"/>
      <c r="F597" s="124"/>
      <c r="G597" s="100"/>
    </row>
    <row r="598" ht="12.75" customHeight="1">
      <c r="A598" s="100"/>
      <c r="B598" s="131"/>
      <c r="C598" s="93"/>
      <c r="D598" s="100"/>
      <c r="E598" s="129"/>
      <c r="F598" s="124"/>
      <c r="G598" s="100"/>
    </row>
    <row r="599" ht="12.75" customHeight="1">
      <c r="A599" s="100"/>
      <c r="B599" s="131"/>
      <c r="C599" s="93"/>
      <c r="D599" s="100"/>
      <c r="E599" s="129"/>
      <c r="F599" s="124"/>
      <c r="G599" s="100"/>
    </row>
    <row r="600" ht="12.75" customHeight="1">
      <c r="A600" s="100"/>
      <c r="B600" s="131"/>
      <c r="C600" s="93"/>
      <c r="D600" s="100"/>
      <c r="E600" s="129"/>
      <c r="F600" s="124"/>
      <c r="G600" s="100"/>
    </row>
    <row r="601" ht="12.75" customHeight="1">
      <c r="A601" s="100"/>
      <c r="B601" s="131"/>
      <c r="C601" s="93"/>
      <c r="D601" s="100"/>
      <c r="E601" s="129"/>
      <c r="F601" s="124"/>
      <c r="G601" s="100"/>
    </row>
    <row r="602" ht="12.75" customHeight="1">
      <c r="A602" s="100"/>
      <c r="B602" s="131"/>
      <c r="C602" s="93"/>
      <c r="D602" s="100"/>
      <c r="E602" s="129"/>
      <c r="F602" s="124"/>
      <c r="G602" s="100"/>
    </row>
    <row r="603" ht="12.75" customHeight="1">
      <c r="A603" s="100"/>
      <c r="B603" s="131"/>
      <c r="C603" s="93"/>
      <c r="D603" s="100"/>
      <c r="E603" s="129"/>
      <c r="F603" s="124"/>
      <c r="G603" s="100"/>
    </row>
    <row r="604" ht="12.75" customHeight="1">
      <c r="A604" s="100"/>
      <c r="B604" s="131"/>
      <c r="C604" s="93"/>
      <c r="D604" s="100"/>
      <c r="E604" s="129"/>
      <c r="F604" s="124"/>
      <c r="G604" s="100"/>
    </row>
    <row r="605" ht="12.75" customHeight="1">
      <c r="A605" s="100"/>
      <c r="B605" s="131"/>
      <c r="C605" s="93"/>
      <c r="D605" s="100"/>
      <c r="E605" s="129"/>
      <c r="F605" s="124"/>
      <c r="G605" s="100"/>
    </row>
    <row r="606" ht="12.75" customHeight="1">
      <c r="A606" s="100"/>
      <c r="B606" s="131"/>
      <c r="C606" s="93"/>
      <c r="D606" s="100"/>
      <c r="E606" s="129"/>
      <c r="F606" s="124"/>
      <c r="G606" s="100"/>
    </row>
    <row r="607" ht="12.75" customHeight="1">
      <c r="A607" s="100"/>
      <c r="B607" s="131"/>
      <c r="C607" s="93"/>
      <c r="D607" s="100"/>
      <c r="E607" s="129"/>
      <c r="F607" s="124"/>
      <c r="G607" s="100"/>
    </row>
    <row r="608" ht="12.75" customHeight="1">
      <c r="A608" s="100"/>
      <c r="B608" s="131"/>
      <c r="C608" s="93"/>
      <c r="D608" s="100"/>
      <c r="E608" s="129"/>
      <c r="F608" s="124"/>
      <c r="G608" s="100"/>
    </row>
    <row r="609" ht="12.75" customHeight="1">
      <c r="A609" s="100"/>
      <c r="B609" s="131"/>
      <c r="C609" s="93"/>
      <c r="D609" s="100"/>
      <c r="E609" s="129"/>
      <c r="F609" s="124"/>
      <c r="G609" s="100"/>
    </row>
    <row r="610" ht="12.75" customHeight="1">
      <c r="A610" s="100"/>
      <c r="B610" s="131"/>
      <c r="C610" s="93"/>
      <c r="D610" s="100"/>
      <c r="E610" s="129"/>
      <c r="F610" s="124"/>
      <c r="G610" s="100"/>
    </row>
    <row r="611" ht="12.75" customHeight="1">
      <c r="A611" s="100"/>
      <c r="B611" s="131"/>
      <c r="C611" s="93"/>
      <c r="D611" s="100"/>
      <c r="E611" s="129"/>
      <c r="F611" s="124"/>
      <c r="G611" s="100"/>
    </row>
    <row r="612" ht="12.75" customHeight="1">
      <c r="A612" s="100"/>
      <c r="B612" s="131"/>
      <c r="C612" s="93"/>
      <c r="D612" s="100"/>
      <c r="E612" s="129"/>
      <c r="F612" s="124"/>
      <c r="G612" s="100"/>
    </row>
    <row r="613" ht="12.75" customHeight="1">
      <c r="A613" s="100"/>
      <c r="B613" s="131"/>
      <c r="C613" s="93"/>
      <c r="D613" s="100"/>
      <c r="E613" s="129"/>
      <c r="F613" s="124"/>
      <c r="G613" s="100"/>
    </row>
    <row r="614" ht="12.75" customHeight="1">
      <c r="A614" s="100"/>
      <c r="B614" s="131"/>
      <c r="C614" s="93"/>
      <c r="D614" s="100"/>
      <c r="E614" s="129"/>
      <c r="F614" s="124"/>
      <c r="G614" s="100"/>
    </row>
    <row r="615" ht="12.75" customHeight="1">
      <c r="A615" s="100"/>
      <c r="B615" s="131"/>
      <c r="C615" s="93"/>
      <c r="D615" s="100"/>
      <c r="E615" s="129"/>
      <c r="F615" s="124"/>
      <c r="G615" s="100"/>
    </row>
    <row r="616" ht="12.75" customHeight="1">
      <c r="A616" s="100"/>
      <c r="B616" s="131"/>
      <c r="C616" s="93"/>
      <c r="D616" s="100"/>
      <c r="E616" s="129"/>
      <c r="F616" s="124"/>
      <c r="G616" s="100"/>
    </row>
    <row r="617" ht="12.75" customHeight="1">
      <c r="A617" s="100"/>
      <c r="B617" s="131"/>
      <c r="C617" s="93"/>
      <c r="D617" s="100"/>
      <c r="E617" s="129"/>
      <c r="F617" s="124"/>
      <c r="G617" s="100"/>
    </row>
    <row r="618" ht="12.75" customHeight="1">
      <c r="A618" s="100"/>
      <c r="B618" s="131"/>
      <c r="C618" s="93"/>
      <c r="D618" s="100"/>
      <c r="E618" s="129"/>
      <c r="F618" s="124"/>
      <c r="G618" s="100"/>
    </row>
    <row r="619" ht="12.75" customHeight="1">
      <c r="A619" s="100"/>
      <c r="B619" s="131"/>
      <c r="C619" s="93"/>
      <c r="D619" s="100"/>
      <c r="E619" s="129"/>
      <c r="F619" s="124"/>
      <c r="G619" s="100"/>
    </row>
    <row r="620" ht="12.75" customHeight="1">
      <c r="A620" s="100"/>
      <c r="B620" s="131"/>
      <c r="C620" s="93"/>
      <c r="D620" s="100"/>
      <c r="E620" s="129"/>
      <c r="F620" s="124"/>
      <c r="G620" s="100"/>
    </row>
    <row r="621" ht="12.75" customHeight="1">
      <c r="A621" s="100"/>
      <c r="B621" s="131"/>
      <c r="C621" s="93"/>
      <c r="D621" s="100"/>
      <c r="E621" s="129"/>
      <c r="F621" s="124"/>
      <c r="G621" s="100"/>
    </row>
    <row r="622" ht="12.75" customHeight="1">
      <c r="A622" s="100"/>
      <c r="B622" s="131"/>
      <c r="C622" s="93"/>
      <c r="D622" s="100"/>
      <c r="E622" s="129"/>
      <c r="F622" s="124"/>
      <c r="G622" s="100"/>
    </row>
    <row r="623" ht="12.75" customHeight="1">
      <c r="A623" s="100"/>
      <c r="B623" s="131"/>
      <c r="C623" s="93"/>
      <c r="D623" s="100"/>
      <c r="E623" s="129"/>
      <c r="F623" s="124"/>
      <c r="G623" s="100"/>
    </row>
    <row r="624" ht="12.75" customHeight="1">
      <c r="A624" s="100"/>
      <c r="B624" s="131"/>
      <c r="C624" s="93"/>
      <c r="D624" s="100"/>
      <c r="E624" s="129"/>
      <c r="F624" s="124"/>
      <c r="G624" s="100"/>
    </row>
    <row r="625" ht="12.75" customHeight="1">
      <c r="A625" s="100"/>
      <c r="B625" s="131"/>
      <c r="C625" s="93"/>
      <c r="D625" s="100"/>
      <c r="E625" s="129"/>
      <c r="F625" s="124"/>
      <c r="G625" s="100"/>
    </row>
    <row r="626" ht="12.75" customHeight="1">
      <c r="A626" s="100"/>
      <c r="B626" s="131"/>
      <c r="C626" s="93"/>
      <c r="D626" s="100"/>
      <c r="E626" s="129"/>
      <c r="F626" s="124"/>
      <c r="G626" s="100"/>
    </row>
    <row r="627" ht="12.75" customHeight="1">
      <c r="A627" s="100"/>
      <c r="B627" s="131"/>
      <c r="C627" s="93"/>
      <c r="D627" s="100"/>
      <c r="E627" s="129"/>
      <c r="F627" s="124"/>
      <c r="G627" s="100"/>
    </row>
    <row r="628" ht="12.75" customHeight="1">
      <c r="A628" s="100"/>
      <c r="B628" s="131"/>
      <c r="C628" s="93"/>
      <c r="D628" s="100"/>
      <c r="E628" s="129"/>
      <c r="F628" s="124"/>
      <c r="G628" s="100"/>
    </row>
    <row r="629" ht="12.75" customHeight="1">
      <c r="A629" s="100"/>
      <c r="B629" s="131"/>
      <c r="C629" s="93"/>
      <c r="D629" s="100"/>
      <c r="E629" s="129"/>
      <c r="F629" s="124"/>
      <c r="G629" s="100"/>
    </row>
    <row r="630" ht="12.75" customHeight="1">
      <c r="A630" s="100"/>
      <c r="B630" s="131"/>
      <c r="C630" s="93"/>
      <c r="D630" s="100"/>
      <c r="E630" s="129"/>
      <c r="F630" s="124"/>
      <c r="G630" s="100"/>
    </row>
    <row r="631" ht="12.75" customHeight="1">
      <c r="A631" s="100"/>
      <c r="B631" s="131"/>
      <c r="C631" s="93"/>
      <c r="D631" s="100"/>
      <c r="E631" s="129"/>
      <c r="F631" s="124"/>
      <c r="G631" s="100"/>
    </row>
    <row r="632" ht="12.75" customHeight="1">
      <c r="A632" s="100"/>
      <c r="B632" s="131"/>
      <c r="C632" s="93"/>
      <c r="D632" s="100"/>
      <c r="E632" s="129"/>
      <c r="F632" s="124"/>
      <c r="G632" s="100"/>
    </row>
    <row r="633" ht="12.75" customHeight="1">
      <c r="A633" s="100"/>
      <c r="B633" s="131"/>
      <c r="C633" s="93"/>
      <c r="D633" s="100"/>
      <c r="E633" s="129"/>
      <c r="F633" s="124"/>
      <c r="G633" s="100"/>
    </row>
    <row r="634" ht="12.75" customHeight="1">
      <c r="A634" s="100"/>
      <c r="B634" s="131"/>
      <c r="C634" s="93"/>
      <c r="D634" s="100"/>
      <c r="E634" s="129"/>
      <c r="F634" s="124"/>
      <c r="G634" s="100"/>
    </row>
    <row r="635" ht="12.75" customHeight="1">
      <c r="A635" s="100"/>
      <c r="B635" s="131"/>
      <c r="C635" s="93"/>
      <c r="D635" s="100"/>
      <c r="E635" s="129"/>
      <c r="F635" s="124"/>
      <c r="G635" s="100"/>
    </row>
    <row r="636" ht="12.75" customHeight="1">
      <c r="A636" s="100"/>
      <c r="B636" s="131"/>
      <c r="C636" s="93"/>
      <c r="D636" s="100"/>
      <c r="E636" s="129"/>
      <c r="F636" s="124"/>
      <c r="G636" s="100"/>
    </row>
    <row r="637" ht="12.75" customHeight="1">
      <c r="A637" s="100"/>
      <c r="B637" s="131"/>
      <c r="C637" s="93"/>
      <c r="D637" s="100"/>
      <c r="E637" s="129"/>
      <c r="F637" s="124"/>
      <c r="G637" s="100"/>
    </row>
    <row r="638" ht="12.75" customHeight="1">
      <c r="A638" s="100"/>
      <c r="B638" s="131"/>
      <c r="C638" s="93"/>
      <c r="D638" s="100"/>
      <c r="E638" s="129"/>
      <c r="F638" s="124"/>
      <c r="G638" s="100"/>
    </row>
    <row r="639" ht="12.75" customHeight="1">
      <c r="A639" s="100"/>
      <c r="B639" s="131"/>
      <c r="C639" s="93"/>
      <c r="D639" s="100"/>
      <c r="E639" s="129"/>
      <c r="F639" s="124"/>
      <c r="G639" s="100"/>
    </row>
    <row r="640" ht="12.75" customHeight="1">
      <c r="A640" s="100"/>
      <c r="B640" s="131"/>
      <c r="C640" s="93"/>
      <c r="D640" s="100"/>
      <c r="E640" s="129"/>
      <c r="F640" s="124"/>
      <c r="G640" s="100"/>
    </row>
    <row r="641" ht="12.75" customHeight="1">
      <c r="A641" s="100"/>
      <c r="B641" s="131"/>
      <c r="C641" s="93"/>
      <c r="D641" s="100"/>
      <c r="E641" s="129"/>
      <c r="F641" s="124"/>
      <c r="G641" s="100"/>
    </row>
    <row r="642" ht="12.75" customHeight="1">
      <c r="A642" s="100"/>
      <c r="B642" s="131"/>
      <c r="C642" s="93"/>
      <c r="D642" s="100"/>
      <c r="E642" s="129"/>
      <c r="F642" s="124"/>
      <c r="G642" s="100"/>
    </row>
    <row r="643" ht="12.75" customHeight="1">
      <c r="A643" s="100"/>
      <c r="B643" s="131"/>
      <c r="C643" s="93"/>
      <c r="D643" s="100"/>
      <c r="E643" s="129"/>
      <c r="F643" s="124"/>
      <c r="G643" s="100"/>
    </row>
    <row r="644" ht="12.75" customHeight="1">
      <c r="A644" s="100"/>
      <c r="B644" s="131"/>
      <c r="C644" s="93"/>
      <c r="D644" s="100"/>
      <c r="E644" s="129"/>
      <c r="F644" s="124"/>
      <c r="G644" s="100"/>
    </row>
    <row r="645" ht="12.75" customHeight="1">
      <c r="A645" s="100"/>
      <c r="B645" s="131"/>
      <c r="C645" s="93"/>
      <c r="D645" s="100"/>
      <c r="E645" s="129"/>
      <c r="F645" s="124"/>
      <c r="G645" s="100"/>
    </row>
    <row r="646" ht="12.75" customHeight="1">
      <c r="A646" s="100"/>
      <c r="B646" s="131"/>
      <c r="C646" s="93"/>
      <c r="D646" s="100"/>
      <c r="E646" s="129"/>
      <c r="F646" s="124"/>
      <c r="G646" s="100"/>
    </row>
    <row r="647" ht="12.75" customHeight="1">
      <c r="A647" s="100"/>
      <c r="B647" s="131"/>
      <c r="C647" s="93"/>
      <c r="D647" s="100"/>
      <c r="E647" s="129"/>
      <c r="F647" s="124"/>
      <c r="G647" s="100"/>
    </row>
    <row r="648" ht="12.75" customHeight="1">
      <c r="A648" s="100"/>
      <c r="B648" s="131"/>
      <c r="C648" s="93"/>
      <c r="D648" s="100"/>
      <c r="E648" s="129"/>
      <c r="F648" s="124"/>
      <c r="G648" s="100"/>
    </row>
    <row r="649" ht="12.75" customHeight="1">
      <c r="A649" s="100"/>
      <c r="B649" s="131"/>
      <c r="C649" s="93"/>
      <c r="D649" s="100"/>
      <c r="E649" s="129"/>
      <c r="F649" s="124"/>
      <c r="G649" s="100"/>
    </row>
    <row r="650" ht="12.75" customHeight="1">
      <c r="A650" s="100"/>
      <c r="B650" s="131"/>
      <c r="C650" s="93"/>
      <c r="D650" s="100"/>
      <c r="E650" s="129"/>
      <c r="F650" s="124"/>
      <c r="G650" s="100"/>
    </row>
    <row r="651" ht="12.75" customHeight="1">
      <c r="A651" s="100"/>
      <c r="B651" s="131"/>
      <c r="C651" s="93"/>
      <c r="D651" s="100"/>
      <c r="E651" s="129"/>
      <c r="F651" s="124"/>
      <c r="G651" s="100"/>
    </row>
    <row r="652" ht="12.75" customHeight="1">
      <c r="A652" s="100"/>
      <c r="B652" s="131"/>
      <c r="C652" s="93"/>
      <c r="D652" s="100"/>
      <c r="E652" s="129"/>
      <c r="F652" s="124"/>
      <c r="G652" s="100"/>
    </row>
    <row r="653" ht="12.75" customHeight="1">
      <c r="A653" s="100"/>
      <c r="B653" s="131"/>
      <c r="C653" s="93"/>
      <c r="D653" s="100"/>
      <c r="E653" s="129"/>
      <c r="F653" s="124"/>
      <c r="G653" s="100"/>
    </row>
    <row r="654" ht="12.75" customHeight="1">
      <c r="A654" s="100"/>
      <c r="B654" s="131"/>
      <c r="C654" s="93"/>
      <c r="D654" s="100"/>
      <c r="E654" s="129"/>
      <c r="F654" s="124"/>
      <c r="G654" s="100"/>
    </row>
    <row r="655" ht="12.75" customHeight="1">
      <c r="A655" s="100"/>
      <c r="B655" s="131"/>
      <c r="C655" s="93"/>
      <c r="D655" s="100"/>
      <c r="E655" s="129"/>
      <c r="F655" s="124"/>
      <c r="G655" s="100"/>
    </row>
    <row r="656" ht="12.75" customHeight="1">
      <c r="A656" s="100"/>
      <c r="B656" s="131"/>
      <c r="C656" s="93"/>
      <c r="D656" s="100"/>
      <c r="E656" s="129"/>
      <c r="F656" s="124"/>
      <c r="G656" s="100"/>
    </row>
    <row r="657" ht="12.75" customHeight="1">
      <c r="A657" s="100"/>
      <c r="B657" s="131"/>
      <c r="C657" s="93"/>
      <c r="D657" s="100"/>
      <c r="E657" s="129"/>
      <c r="F657" s="124"/>
      <c r="G657" s="100"/>
    </row>
    <row r="658" ht="12.75" customHeight="1">
      <c r="A658" s="100"/>
      <c r="B658" s="131"/>
      <c r="C658" s="93"/>
      <c r="D658" s="100"/>
      <c r="E658" s="129"/>
      <c r="F658" s="124"/>
      <c r="G658" s="100"/>
    </row>
    <row r="659" ht="12.75" customHeight="1">
      <c r="A659" s="100"/>
      <c r="B659" s="131"/>
      <c r="C659" s="93"/>
      <c r="D659" s="100"/>
      <c r="E659" s="129"/>
      <c r="F659" s="124"/>
      <c r="G659" s="100"/>
    </row>
    <row r="660" ht="12.75" customHeight="1">
      <c r="A660" s="100"/>
      <c r="B660" s="131"/>
      <c r="C660" s="93"/>
      <c r="D660" s="100"/>
      <c r="E660" s="129"/>
      <c r="F660" s="124"/>
      <c r="G660" s="100"/>
    </row>
    <row r="661" ht="12.75" customHeight="1">
      <c r="A661" s="100"/>
      <c r="B661" s="131"/>
      <c r="C661" s="93"/>
      <c r="D661" s="100"/>
      <c r="E661" s="129"/>
      <c r="F661" s="124"/>
      <c r="G661" s="100"/>
    </row>
    <row r="662" ht="12.75" customHeight="1">
      <c r="A662" s="100"/>
      <c r="B662" s="131"/>
      <c r="C662" s="93"/>
      <c r="D662" s="100"/>
      <c r="E662" s="129"/>
      <c r="F662" s="124"/>
      <c r="G662" s="100"/>
    </row>
    <row r="663" ht="12.75" customHeight="1">
      <c r="A663" s="100"/>
      <c r="B663" s="131"/>
      <c r="C663" s="93"/>
      <c r="D663" s="100"/>
      <c r="E663" s="129"/>
      <c r="F663" s="124"/>
      <c r="G663" s="100"/>
    </row>
    <row r="664" ht="12.75" customHeight="1">
      <c r="A664" s="100"/>
      <c r="B664" s="131"/>
      <c r="C664" s="93"/>
      <c r="D664" s="100"/>
      <c r="E664" s="129"/>
      <c r="F664" s="124"/>
      <c r="G664" s="100"/>
    </row>
    <row r="665" ht="12.75" customHeight="1">
      <c r="A665" s="100"/>
      <c r="B665" s="131"/>
      <c r="C665" s="93"/>
      <c r="D665" s="100"/>
      <c r="E665" s="129"/>
      <c r="F665" s="124"/>
      <c r="G665" s="100"/>
    </row>
    <row r="666" ht="12.75" customHeight="1">
      <c r="A666" s="100"/>
      <c r="B666" s="131"/>
      <c r="C666" s="93"/>
      <c r="D666" s="100"/>
      <c r="E666" s="129"/>
      <c r="F666" s="124"/>
      <c r="G666" s="100"/>
    </row>
    <row r="667" ht="12.75" customHeight="1">
      <c r="A667" s="100"/>
      <c r="B667" s="131"/>
      <c r="C667" s="93"/>
      <c r="D667" s="100"/>
      <c r="E667" s="129"/>
      <c r="F667" s="124"/>
      <c r="G667" s="100"/>
    </row>
    <row r="668" ht="12.75" customHeight="1">
      <c r="A668" s="100"/>
      <c r="B668" s="131"/>
      <c r="C668" s="93"/>
      <c r="D668" s="100"/>
      <c r="E668" s="129"/>
      <c r="F668" s="124"/>
      <c r="G668" s="100"/>
    </row>
    <row r="669" ht="12.75" customHeight="1">
      <c r="A669" s="100"/>
      <c r="B669" s="131"/>
      <c r="C669" s="93"/>
      <c r="D669" s="100"/>
      <c r="E669" s="129"/>
      <c r="F669" s="124"/>
      <c r="G669" s="100"/>
    </row>
    <row r="670" ht="12.75" customHeight="1">
      <c r="A670" s="100"/>
      <c r="B670" s="131"/>
      <c r="C670" s="93"/>
      <c r="D670" s="100"/>
      <c r="E670" s="129"/>
      <c r="F670" s="124"/>
      <c r="G670" s="100"/>
    </row>
    <row r="671" ht="12.75" customHeight="1">
      <c r="A671" s="100"/>
      <c r="B671" s="131"/>
      <c r="C671" s="93"/>
      <c r="D671" s="100"/>
      <c r="E671" s="129"/>
      <c r="F671" s="124"/>
      <c r="G671" s="100"/>
    </row>
    <row r="672" ht="12.75" customHeight="1">
      <c r="A672" s="100"/>
      <c r="B672" s="131"/>
      <c r="C672" s="93"/>
      <c r="D672" s="100"/>
      <c r="E672" s="129"/>
      <c r="F672" s="124"/>
      <c r="G672" s="100"/>
    </row>
    <row r="673" ht="12.75" customHeight="1">
      <c r="A673" s="100"/>
      <c r="B673" s="131"/>
      <c r="C673" s="93"/>
      <c r="D673" s="100"/>
      <c r="E673" s="129"/>
      <c r="F673" s="124"/>
      <c r="G673" s="100"/>
    </row>
    <row r="674" ht="12.75" customHeight="1">
      <c r="A674" s="100"/>
      <c r="B674" s="131"/>
      <c r="C674" s="93"/>
      <c r="D674" s="100"/>
      <c r="E674" s="129"/>
      <c r="F674" s="124"/>
      <c r="G674" s="100"/>
    </row>
    <row r="675" ht="12.75" customHeight="1">
      <c r="A675" s="100"/>
      <c r="B675" s="131"/>
      <c r="C675" s="93"/>
      <c r="D675" s="100"/>
      <c r="E675" s="129"/>
      <c r="F675" s="124"/>
      <c r="G675" s="100"/>
    </row>
    <row r="676" ht="12.75" customHeight="1">
      <c r="A676" s="100"/>
      <c r="B676" s="131"/>
      <c r="C676" s="93"/>
      <c r="D676" s="100"/>
      <c r="E676" s="129"/>
      <c r="F676" s="124"/>
      <c r="G676" s="100"/>
    </row>
    <row r="677" ht="12.75" customHeight="1">
      <c r="A677" s="100"/>
      <c r="B677" s="131"/>
      <c r="C677" s="93"/>
      <c r="D677" s="100"/>
      <c r="E677" s="129"/>
      <c r="F677" s="124"/>
      <c r="G677" s="100"/>
    </row>
    <row r="678" ht="12.75" customHeight="1">
      <c r="A678" s="100"/>
      <c r="B678" s="131"/>
      <c r="C678" s="93"/>
      <c r="D678" s="100"/>
      <c r="E678" s="129"/>
      <c r="F678" s="124"/>
      <c r="G678" s="100"/>
    </row>
    <row r="679" ht="12.75" customHeight="1">
      <c r="A679" s="100"/>
      <c r="B679" s="131"/>
      <c r="C679" s="93"/>
      <c r="D679" s="100"/>
      <c r="E679" s="129"/>
      <c r="F679" s="124"/>
      <c r="G679" s="100"/>
    </row>
    <row r="680" ht="12.75" customHeight="1">
      <c r="A680" s="100"/>
      <c r="B680" s="131"/>
      <c r="C680" s="93"/>
      <c r="D680" s="100"/>
      <c r="E680" s="129"/>
      <c r="F680" s="124"/>
      <c r="G680" s="100"/>
    </row>
    <row r="681" ht="12.75" customHeight="1">
      <c r="A681" s="100"/>
      <c r="B681" s="131"/>
      <c r="C681" s="93"/>
      <c r="D681" s="100"/>
      <c r="E681" s="129"/>
      <c r="F681" s="124"/>
      <c r="G681" s="100"/>
    </row>
    <row r="682" ht="12.75" customHeight="1">
      <c r="A682" s="100"/>
      <c r="B682" s="131"/>
      <c r="C682" s="93"/>
      <c r="D682" s="100"/>
      <c r="E682" s="129"/>
      <c r="F682" s="124"/>
      <c r="G682" s="100"/>
    </row>
    <row r="683" ht="12.75" customHeight="1">
      <c r="A683" s="100"/>
      <c r="B683" s="131"/>
      <c r="C683" s="93"/>
      <c r="D683" s="100"/>
      <c r="E683" s="129"/>
      <c r="F683" s="124"/>
      <c r="G683" s="100"/>
    </row>
    <row r="684" ht="12.75" customHeight="1">
      <c r="A684" s="100"/>
      <c r="B684" s="131"/>
      <c r="C684" s="93"/>
      <c r="D684" s="100"/>
      <c r="E684" s="129"/>
      <c r="F684" s="124"/>
      <c r="G684" s="100"/>
    </row>
    <row r="685" ht="12.75" customHeight="1">
      <c r="A685" s="100"/>
      <c r="B685" s="131"/>
      <c r="C685" s="93"/>
      <c r="D685" s="100"/>
      <c r="E685" s="129"/>
      <c r="F685" s="124"/>
      <c r="G685" s="100"/>
    </row>
    <row r="686" ht="12.75" customHeight="1">
      <c r="A686" s="100"/>
      <c r="B686" s="131"/>
      <c r="C686" s="93"/>
      <c r="D686" s="100"/>
      <c r="E686" s="129"/>
      <c r="F686" s="124"/>
      <c r="G686" s="100"/>
    </row>
    <row r="687" ht="12.75" customHeight="1">
      <c r="A687" s="100"/>
      <c r="B687" s="131"/>
      <c r="C687" s="93"/>
      <c r="D687" s="100"/>
      <c r="E687" s="129"/>
      <c r="F687" s="124"/>
      <c r="G687" s="100"/>
    </row>
    <row r="688" ht="12.75" customHeight="1">
      <c r="A688" s="100"/>
      <c r="B688" s="131"/>
      <c r="C688" s="93"/>
      <c r="D688" s="100"/>
      <c r="E688" s="129"/>
      <c r="F688" s="124"/>
      <c r="G688" s="100"/>
    </row>
    <row r="689" ht="12.75" customHeight="1">
      <c r="A689" s="100"/>
      <c r="B689" s="131"/>
      <c r="C689" s="93"/>
      <c r="D689" s="100"/>
      <c r="E689" s="129"/>
      <c r="F689" s="124"/>
      <c r="G689" s="100"/>
    </row>
    <row r="690" ht="12.75" customHeight="1">
      <c r="A690" s="100"/>
      <c r="B690" s="131"/>
      <c r="C690" s="93"/>
      <c r="D690" s="100"/>
      <c r="E690" s="129"/>
      <c r="F690" s="124"/>
      <c r="G690" s="100"/>
    </row>
    <row r="691" ht="12.75" customHeight="1">
      <c r="A691" s="100"/>
      <c r="B691" s="131"/>
      <c r="C691" s="93"/>
      <c r="D691" s="100"/>
      <c r="E691" s="129"/>
      <c r="F691" s="124"/>
      <c r="G691" s="100"/>
    </row>
    <row r="692" ht="12.75" customHeight="1">
      <c r="A692" s="100"/>
      <c r="B692" s="131"/>
      <c r="C692" s="93"/>
      <c r="D692" s="100"/>
      <c r="E692" s="129"/>
      <c r="F692" s="124"/>
      <c r="G692" s="100"/>
    </row>
    <row r="693" ht="12.75" customHeight="1">
      <c r="A693" s="100"/>
      <c r="B693" s="131"/>
      <c r="C693" s="93"/>
      <c r="D693" s="100"/>
      <c r="E693" s="129"/>
      <c r="F693" s="124"/>
      <c r="G693" s="100"/>
    </row>
    <row r="694" ht="12.75" customHeight="1">
      <c r="A694" s="100"/>
      <c r="B694" s="131"/>
      <c r="C694" s="93"/>
      <c r="D694" s="100"/>
      <c r="E694" s="129"/>
      <c r="F694" s="124"/>
      <c r="G694" s="100"/>
    </row>
    <row r="695" ht="12.75" customHeight="1">
      <c r="A695" s="100"/>
      <c r="B695" s="131"/>
      <c r="C695" s="93"/>
      <c r="D695" s="100"/>
      <c r="E695" s="129"/>
      <c r="F695" s="124"/>
      <c r="G695" s="100"/>
    </row>
    <row r="696" ht="12.75" customHeight="1">
      <c r="A696" s="100"/>
      <c r="B696" s="131"/>
      <c r="C696" s="93"/>
      <c r="D696" s="100"/>
      <c r="E696" s="129"/>
      <c r="F696" s="124"/>
      <c r="G696" s="100"/>
    </row>
    <row r="697" ht="12.75" customHeight="1">
      <c r="A697" s="100"/>
      <c r="B697" s="131"/>
      <c r="C697" s="93"/>
      <c r="D697" s="100"/>
      <c r="E697" s="129"/>
      <c r="F697" s="124"/>
      <c r="G697" s="100"/>
    </row>
    <row r="698" ht="12.75" customHeight="1">
      <c r="A698" s="100"/>
      <c r="B698" s="131"/>
      <c r="C698" s="93"/>
      <c r="D698" s="100"/>
      <c r="E698" s="129"/>
      <c r="F698" s="124"/>
      <c r="G698" s="100"/>
    </row>
    <row r="699" ht="12.75" customHeight="1">
      <c r="A699" s="100"/>
      <c r="B699" s="131"/>
      <c r="C699" s="93"/>
      <c r="D699" s="100"/>
      <c r="E699" s="129"/>
      <c r="F699" s="124"/>
      <c r="G699" s="100"/>
    </row>
    <row r="700" ht="12.75" customHeight="1">
      <c r="A700" s="100"/>
      <c r="B700" s="131"/>
      <c r="C700" s="93"/>
      <c r="D700" s="100"/>
      <c r="E700" s="129"/>
      <c r="F700" s="124"/>
      <c r="G700" s="100"/>
    </row>
    <row r="701" ht="12.75" customHeight="1">
      <c r="A701" s="100"/>
      <c r="B701" s="131"/>
      <c r="C701" s="93"/>
      <c r="D701" s="100"/>
      <c r="E701" s="129"/>
      <c r="F701" s="124"/>
      <c r="G701" s="100"/>
    </row>
    <row r="702" ht="12.75" customHeight="1">
      <c r="A702" s="100"/>
      <c r="B702" s="131"/>
      <c r="C702" s="93"/>
      <c r="D702" s="100"/>
      <c r="E702" s="129"/>
      <c r="F702" s="124"/>
      <c r="G702" s="100"/>
    </row>
    <row r="703" ht="12.75" customHeight="1">
      <c r="A703" s="100"/>
      <c r="B703" s="131"/>
      <c r="C703" s="93"/>
      <c r="D703" s="100"/>
      <c r="E703" s="129"/>
      <c r="F703" s="124"/>
      <c r="G703" s="100"/>
    </row>
    <row r="704" ht="12.75" customHeight="1">
      <c r="A704" s="100"/>
      <c r="B704" s="131"/>
      <c r="C704" s="93"/>
      <c r="D704" s="100"/>
      <c r="E704" s="129"/>
      <c r="F704" s="124"/>
      <c r="G704" s="100"/>
    </row>
    <row r="705" ht="12.75" customHeight="1">
      <c r="A705" s="100"/>
      <c r="B705" s="131"/>
      <c r="C705" s="93"/>
      <c r="D705" s="100"/>
      <c r="E705" s="129"/>
      <c r="F705" s="124"/>
      <c r="G705" s="100"/>
    </row>
    <row r="706" ht="12.75" customHeight="1">
      <c r="A706" s="100"/>
      <c r="B706" s="131"/>
      <c r="C706" s="93"/>
      <c r="D706" s="100"/>
      <c r="E706" s="129"/>
      <c r="F706" s="124"/>
      <c r="G706" s="100"/>
    </row>
    <row r="707" ht="12.75" customHeight="1">
      <c r="A707" s="100"/>
      <c r="B707" s="131"/>
      <c r="C707" s="93"/>
      <c r="D707" s="100"/>
      <c r="E707" s="129"/>
      <c r="F707" s="124"/>
      <c r="G707" s="100"/>
    </row>
    <row r="708" ht="12.75" customHeight="1">
      <c r="A708" s="100"/>
      <c r="B708" s="131"/>
      <c r="C708" s="93"/>
      <c r="D708" s="100"/>
      <c r="E708" s="129"/>
      <c r="F708" s="124"/>
      <c r="G708" s="100"/>
    </row>
    <row r="709" ht="12.75" customHeight="1">
      <c r="A709" s="100"/>
      <c r="B709" s="131"/>
      <c r="C709" s="93"/>
      <c r="D709" s="100"/>
      <c r="E709" s="129"/>
      <c r="F709" s="124"/>
      <c r="G709" s="100"/>
    </row>
    <row r="710" ht="12.75" customHeight="1">
      <c r="A710" s="100"/>
      <c r="B710" s="131"/>
      <c r="C710" s="93"/>
      <c r="D710" s="100"/>
      <c r="E710" s="129"/>
      <c r="F710" s="124"/>
      <c r="G710" s="100"/>
    </row>
    <row r="711" ht="12.75" customHeight="1">
      <c r="A711" s="100"/>
      <c r="B711" s="131"/>
      <c r="C711" s="93"/>
      <c r="D711" s="100"/>
      <c r="E711" s="129"/>
      <c r="F711" s="124"/>
      <c r="G711" s="100"/>
    </row>
    <row r="712" ht="12.75" customHeight="1">
      <c r="A712" s="100"/>
      <c r="B712" s="131"/>
      <c r="C712" s="93"/>
      <c r="D712" s="100"/>
      <c r="E712" s="129"/>
      <c r="F712" s="124"/>
      <c r="G712" s="100"/>
    </row>
    <row r="713" ht="12.75" customHeight="1">
      <c r="A713" s="100"/>
      <c r="B713" s="131"/>
      <c r="C713" s="93"/>
      <c r="D713" s="100"/>
      <c r="E713" s="129"/>
      <c r="F713" s="124"/>
      <c r="G713" s="100"/>
    </row>
    <row r="714" ht="12.75" customHeight="1">
      <c r="A714" s="100"/>
      <c r="B714" s="131"/>
      <c r="C714" s="93"/>
      <c r="D714" s="100"/>
      <c r="E714" s="129"/>
      <c r="F714" s="124"/>
      <c r="G714" s="100"/>
    </row>
    <row r="715" ht="12.75" customHeight="1">
      <c r="A715" s="100"/>
      <c r="B715" s="131"/>
      <c r="C715" s="93"/>
      <c r="D715" s="100"/>
      <c r="E715" s="129"/>
      <c r="F715" s="124"/>
      <c r="G715" s="100"/>
    </row>
    <row r="716" ht="12.75" customHeight="1">
      <c r="A716" s="100"/>
      <c r="B716" s="131"/>
      <c r="C716" s="93"/>
      <c r="D716" s="100"/>
      <c r="E716" s="129"/>
      <c r="F716" s="124"/>
      <c r="G716" s="100"/>
    </row>
    <row r="717" ht="12.75" customHeight="1">
      <c r="A717" s="100"/>
      <c r="B717" s="131"/>
      <c r="C717" s="93"/>
      <c r="D717" s="100"/>
      <c r="E717" s="129"/>
      <c r="F717" s="124"/>
      <c r="G717" s="100"/>
    </row>
    <row r="718" ht="12.75" customHeight="1">
      <c r="A718" s="100"/>
      <c r="B718" s="131"/>
      <c r="C718" s="93"/>
      <c r="D718" s="100"/>
      <c r="E718" s="129"/>
      <c r="F718" s="124"/>
      <c r="G718" s="100"/>
    </row>
    <row r="719" ht="12.75" customHeight="1">
      <c r="A719" s="100"/>
      <c r="B719" s="131"/>
      <c r="C719" s="93"/>
      <c r="D719" s="100"/>
      <c r="E719" s="129"/>
      <c r="F719" s="124"/>
      <c r="G719" s="100"/>
    </row>
    <row r="720" ht="12.75" customHeight="1">
      <c r="A720" s="100"/>
      <c r="B720" s="131"/>
      <c r="C720" s="93"/>
      <c r="D720" s="100"/>
      <c r="E720" s="129"/>
      <c r="F720" s="124"/>
      <c r="G720" s="100"/>
    </row>
    <row r="721" ht="12.75" customHeight="1">
      <c r="A721" s="100"/>
      <c r="B721" s="131"/>
      <c r="C721" s="93"/>
      <c r="D721" s="100"/>
      <c r="E721" s="129"/>
      <c r="F721" s="124"/>
      <c r="G721" s="100"/>
    </row>
    <row r="722" ht="12.75" customHeight="1">
      <c r="A722" s="100"/>
      <c r="B722" s="131"/>
      <c r="C722" s="93"/>
      <c r="D722" s="100"/>
      <c r="E722" s="129"/>
      <c r="F722" s="124"/>
      <c r="G722" s="100"/>
    </row>
    <row r="723" ht="12.75" customHeight="1">
      <c r="A723" s="100"/>
      <c r="B723" s="131"/>
      <c r="C723" s="93"/>
      <c r="D723" s="100"/>
      <c r="E723" s="129"/>
      <c r="F723" s="124"/>
      <c r="G723" s="100"/>
    </row>
    <row r="724" ht="12.75" customHeight="1">
      <c r="A724" s="100"/>
      <c r="B724" s="131"/>
      <c r="C724" s="93"/>
      <c r="D724" s="100"/>
      <c r="E724" s="129"/>
      <c r="F724" s="124"/>
      <c r="G724" s="100"/>
    </row>
    <row r="725" ht="12.75" customHeight="1">
      <c r="A725" s="100"/>
      <c r="B725" s="131"/>
      <c r="C725" s="93"/>
      <c r="D725" s="100"/>
      <c r="E725" s="129"/>
      <c r="F725" s="124"/>
      <c r="G725" s="100"/>
    </row>
    <row r="726" ht="12.75" customHeight="1">
      <c r="A726" s="100"/>
      <c r="B726" s="131"/>
      <c r="C726" s="93"/>
      <c r="D726" s="100"/>
      <c r="E726" s="129"/>
      <c r="F726" s="124"/>
      <c r="G726" s="100"/>
    </row>
    <row r="727" ht="12.75" customHeight="1">
      <c r="A727" s="100"/>
      <c r="B727" s="131"/>
      <c r="C727" s="93"/>
      <c r="D727" s="100"/>
      <c r="E727" s="129"/>
      <c r="F727" s="124"/>
      <c r="G727" s="100"/>
    </row>
    <row r="728" ht="12.75" customHeight="1">
      <c r="A728" s="100"/>
      <c r="B728" s="131"/>
      <c r="C728" s="93"/>
      <c r="D728" s="100"/>
      <c r="E728" s="129"/>
      <c r="F728" s="124"/>
      <c r="G728" s="100"/>
    </row>
    <row r="729" ht="12.75" customHeight="1">
      <c r="A729" s="100"/>
      <c r="B729" s="131"/>
      <c r="C729" s="93"/>
      <c r="D729" s="100"/>
      <c r="E729" s="129"/>
      <c r="F729" s="124"/>
      <c r="G729" s="100"/>
    </row>
    <row r="730" ht="12.75" customHeight="1">
      <c r="A730" s="100"/>
      <c r="B730" s="131"/>
      <c r="C730" s="93"/>
      <c r="D730" s="100"/>
      <c r="E730" s="129"/>
      <c r="F730" s="124"/>
      <c r="G730" s="100"/>
    </row>
    <row r="731" ht="12.75" customHeight="1">
      <c r="A731" s="100"/>
      <c r="B731" s="131"/>
      <c r="C731" s="93"/>
      <c r="D731" s="100"/>
      <c r="E731" s="129"/>
      <c r="F731" s="124"/>
      <c r="G731" s="100"/>
    </row>
    <row r="732" ht="12.75" customHeight="1">
      <c r="A732" s="100"/>
      <c r="B732" s="131"/>
      <c r="C732" s="93"/>
      <c r="D732" s="100"/>
      <c r="E732" s="129"/>
      <c r="F732" s="124"/>
      <c r="G732" s="100"/>
    </row>
    <row r="733" ht="12.75" customHeight="1">
      <c r="A733" s="100"/>
      <c r="B733" s="131"/>
      <c r="C733" s="93"/>
      <c r="D733" s="100"/>
      <c r="E733" s="129"/>
      <c r="F733" s="124"/>
      <c r="G733" s="100"/>
    </row>
    <row r="734" ht="12.75" customHeight="1">
      <c r="A734" s="100"/>
      <c r="B734" s="131"/>
      <c r="C734" s="93"/>
      <c r="D734" s="100"/>
      <c r="E734" s="129"/>
      <c r="F734" s="124"/>
      <c r="G734" s="100"/>
    </row>
    <row r="735" ht="12.75" customHeight="1">
      <c r="A735" s="100"/>
      <c r="B735" s="131"/>
      <c r="C735" s="93"/>
      <c r="D735" s="100"/>
      <c r="E735" s="129"/>
      <c r="F735" s="124"/>
      <c r="G735" s="100"/>
    </row>
    <row r="736" ht="12.75" customHeight="1">
      <c r="A736" s="100"/>
      <c r="B736" s="131"/>
      <c r="C736" s="93"/>
      <c r="D736" s="100"/>
      <c r="E736" s="129"/>
      <c r="F736" s="124"/>
      <c r="G736" s="100"/>
    </row>
    <row r="737" ht="12.75" customHeight="1">
      <c r="A737" s="100"/>
      <c r="B737" s="131"/>
      <c r="C737" s="93"/>
      <c r="D737" s="100"/>
      <c r="E737" s="129"/>
      <c r="F737" s="124"/>
      <c r="G737" s="100"/>
    </row>
    <row r="738" ht="12.75" customHeight="1">
      <c r="A738" s="100"/>
      <c r="B738" s="131"/>
      <c r="C738" s="93"/>
      <c r="D738" s="100"/>
      <c r="E738" s="129"/>
      <c r="F738" s="124"/>
      <c r="G738" s="100"/>
    </row>
    <row r="739" ht="12.75" customHeight="1">
      <c r="A739" s="100"/>
      <c r="B739" s="131"/>
      <c r="C739" s="93"/>
      <c r="D739" s="100"/>
      <c r="E739" s="129"/>
      <c r="F739" s="124"/>
      <c r="G739" s="100"/>
    </row>
    <row r="740" ht="12.75" customHeight="1">
      <c r="A740" s="100"/>
      <c r="B740" s="131"/>
      <c r="C740" s="93"/>
      <c r="D740" s="100"/>
      <c r="E740" s="129"/>
      <c r="F740" s="124"/>
      <c r="G740" s="100"/>
    </row>
    <row r="741" ht="12.75" customHeight="1">
      <c r="A741" s="100"/>
      <c r="B741" s="131"/>
      <c r="C741" s="93"/>
      <c r="D741" s="100"/>
      <c r="E741" s="129"/>
      <c r="F741" s="124"/>
      <c r="G741" s="100"/>
    </row>
    <row r="742" ht="12.75" customHeight="1">
      <c r="A742" s="100"/>
      <c r="B742" s="131"/>
      <c r="C742" s="93"/>
      <c r="D742" s="100"/>
      <c r="E742" s="129"/>
      <c r="F742" s="124"/>
      <c r="G742" s="100"/>
    </row>
    <row r="743" ht="12.75" customHeight="1">
      <c r="A743" s="100"/>
      <c r="B743" s="131"/>
      <c r="C743" s="93"/>
      <c r="D743" s="100"/>
      <c r="E743" s="129"/>
      <c r="F743" s="124"/>
      <c r="G743" s="100"/>
    </row>
    <row r="744" ht="12.75" customHeight="1">
      <c r="A744" s="100"/>
      <c r="B744" s="131"/>
      <c r="C744" s="93"/>
      <c r="D744" s="100"/>
      <c r="E744" s="129"/>
      <c r="F744" s="124"/>
      <c r="G744" s="100"/>
    </row>
    <row r="745" ht="12.75" customHeight="1">
      <c r="A745" s="100"/>
      <c r="B745" s="131"/>
      <c r="C745" s="93"/>
      <c r="D745" s="100"/>
      <c r="E745" s="129"/>
      <c r="F745" s="124"/>
      <c r="G745" s="100"/>
    </row>
    <row r="746" ht="12.75" customHeight="1">
      <c r="A746" s="100"/>
      <c r="B746" s="131"/>
      <c r="C746" s="93"/>
      <c r="D746" s="100"/>
      <c r="E746" s="129"/>
      <c r="F746" s="124"/>
      <c r="G746" s="100"/>
    </row>
    <row r="747" ht="12.75" customHeight="1">
      <c r="A747" s="100"/>
      <c r="B747" s="131"/>
      <c r="C747" s="93"/>
      <c r="D747" s="100"/>
      <c r="E747" s="129"/>
      <c r="F747" s="124"/>
      <c r="G747" s="100"/>
    </row>
    <row r="748" ht="12.75" customHeight="1">
      <c r="A748" s="100"/>
      <c r="B748" s="131"/>
      <c r="C748" s="93"/>
      <c r="D748" s="100"/>
      <c r="E748" s="129"/>
      <c r="F748" s="124"/>
      <c r="G748" s="100"/>
    </row>
    <row r="749" ht="12.75" customHeight="1">
      <c r="A749" s="100"/>
      <c r="B749" s="131"/>
      <c r="C749" s="93"/>
      <c r="D749" s="100"/>
      <c r="E749" s="129"/>
      <c r="F749" s="124"/>
      <c r="G749" s="100"/>
    </row>
    <row r="750" ht="12.75" customHeight="1">
      <c r="A750" s="100"/>
      <c r="B750" s="131"/>
      <c r="C750" s="93"/>
      <c r="D750" s="100"/>
      <c r="E750" s="129"/>
      <c r="F750" s="124"/>
      <c r="G750" s="100"/>
    </row>
    <row r="751" ht="12.75" customHeight="1">
      <c r="A751" s="100"/>
      <c r="B751" s="131"/>
      <c r="C751" s="93"/>
      <c r="D751" s="100"/>
      <c r="E751" s="129"/>
      <c r="F751" s="124"/>
      <c r="G751" s="100"/>
    </row>
    <row r="752" ht="12.75" customHeight="1">
      <c r="A752" s="100"/>
      <c r="B752" s="131"/>
      <c r="C752" s="93"/>
      <c r="D752" s="100"/>
      <c r="E752" s="129"/>
      <c r="F752" s="124"/>
      <c r="G752" s="100"/>
    </row>
    <row r="753" ht="12.75" customHeight="1">
      <c r="A753" s="100"/>
      <c r="B753" s="131"/>
      <c r="C753" s="93"/>
      <c r="D753" s="100"/>
      <c r="E753" s="129"/>
      <c r="F753" s="124"/>
      <c r="G753" s="100"/>
    </row>
    <row r="754" ht="12.75" customHeight="1">
      <c r="A754" s="100"/>
      <c r="B754" s="131"/>
      <c r="C754" s="93"/>
      <c r="D754" s="100"/>
      <c r="E754" s="129"/>
      <c r="F754" s="124"/>
      <c r="G754" s="100"/>
    </row>
    <row r="755" ht="12.75" customHeight="1">
      <c r="A755" s="100"/>
      <c r="B755" s="131"/>
      <c r="C755" s="93"/>
      <c r="D755" s="100"/>
      <c r="E755" s="129"/>
      <c r="F755" s="124"/>
      <c r="G755" s="100"/>
    </row>
    <row r="756" ht="12.75" customHeight="1">
      <c r="A756" s="100"/>
      <c r="B756" s="131"/>
      <c r="C756" s="93"/>
      <c r="D756" s="100"/>
      <c r="E756" s="129"/>
      <c r="F756" s="124"/>
      <c r="G756" s="100"/>
    </row>
    <row r="757" ht="12.75" customHeight="1">
      <c r="A757" s="100"/>
      <c r="B757" s="131"/>
      <c r="C757" s="93"/>
      <c r="D757" s="100"/>
      <c r="E757" s="129"/>
      <c r="F757" s="124"/>
      <c r="G757" s="100"/>
    </row>
    <row r="758" ht="12.75" customHeight="1">
      <c r="A758" s="100"/>
      <c r="B758" s="131"/>
      <c r="C758" s="93"/>
      <c r="D758" s="100"/>
      <c r="E758" s="129"/>
      <c r="F758" s="124"/>
      <c r="G758" s="100"/>
    </row>
    <row r="759" ht="12.75" customHeight="1">
      <c r="A759" s="100"/>
      <c r="B759" s="131"/>
      <c r="C759" s="93"/>
      <c r="D759" s="100"/>
      <c r="E759" s="129"/>
      <c r="F759" s="124"/>
      <c r="G759" s="100"/>
    </row>
    <row r="760" ht="12.75" customHeight="1">
      <c r="A760" s="100"/>
      <c r="B760" s="131"/>
      <c r="C760" s="93"/>
      <c r="D760" s="100"/>
      <c r="E760" s="129"/>
      <c r="F760" s="124"/>
      <c r="G760" s="100"/>
    </row>
    <row r="761" ht="12.75" customHeight="1">
      <c r="A761" s="100"/>
      <c r="B761" s="131"/>
      <c r="C761" s="93"/>
      <c r="D761" s="100"/>
      <c r="E761" s="129"/>
      <c r="F761" s="124"/>
      <c r="G761" s="100"/>
    </row>
    <row r="762" ht="12.75" customHeight="1">
      <c r="A762" s="100"/>
      <c r="B762" s="131"/>
      <c r="C762" s="93"/>
      <c r="D762" s="100"/>
      <c r="E762" s="129"/>
      <c r="F762" s="124"/>
      <c r="G762" s="100"/>
    </row>
    <row r="763" ht="12.75" customHeight="1">
      <c r="A763" s="100"/>
      <c r="B763" s="131"/>
      <c r="C763" s="93"/>
      <c r="D763" s="100"/>
      <c r="E763" s="129"/>
      <c r="F763" s="124"/>
      <c r="G763" s="100"/>
    </row>
    <row r="764" ht="12.75" customHeight="1">
      <c r="A764" s="100"/>
      <c r="B764" s="131"/>
      <c r="C764" s="93"/>
      <c r="D764" s="100"/>
      <c r="E764" s="129"/>
      <c r="F764" s="124"/>
      <c r="G764" s="100"/>
    </row>
    <row r="765" ht="12.75" customHeight="1">
      <c r="A765" s="100"/>
      <c r="B765" s="131"/>
      <c r="C765" s="93"/>
      <c r="D765" s="100"/>
      <c r="E765" s="129"/>
      <c r="F765" s="124"/>
      <c r="G765" s="100"/>
    </row>
    <row r="766" ht="12.75" customHeight="1">
      <c r="A766" s="100"/>
      <c r="B766" s="131"/>
      <c r="C766" s="93"/>
      <c r="D766" s="100"/>
      <c r="E766" s="129"/>
      <c r="F766" s="124"/>
      <c r="G766" s="100"/>
    </row>
    <row r="767" ht="12.75" customHeight="1">
      <c r="A767" s="100"/>
      <c r="B767" s="131"/>
      <c r="C767" s="93"/>
      <c r="D767" s="100"/>
      <c r="E767" s="129"/>
      <c r="F767" s="124"/>
      <c r="G767" s="100"/>
    </row>
    <row r="768" ht="12.75" customHeight="1">
      <c r="A768" s="100"/>
      <c r="B768" s="131"/>
      <c r="C768" s="93"/>
      <c r="D768" s="100"/>
      <c r="E768" s="129"/>
      <c r="F768" s="124"/>
      <c r="G768" s="100"/>
    </row>
    <row r="769" ht="12.75" customHeight="1">
      <c r="A769" s="100"/>
      <c r="B769" s="131"/>
      <c r="C769" s="93"/>
      <c r="D769" s="100"/>
      <c r="E769" s="129"/>
      <c r="F769" s="124"/>
      <c r="G769" s="100"/>
    </row>
    <row r="770" ht="12.75" customHeight="1">
      <c r="A770" s="100"/>
      <c r="B770" s="131"/>
      <c r="C770" s="93"/>
      <c r="D770" s="100"/>
      <c r="E770" s="129"/>
      <c r="F770" s="124"/>
      <c r="G770" s="100"/>
    </row>
    <row r="771" ht="12.75" customHeight="1">
      <c r="A771" s="100"/>
      <c r="B771" s="131"/>
      <c r="C771" s="93"/>
      <c r="D771" s="100"/>
      <c r="E771" s="129"/>
      <c r="F771" s="124"/>
      <c r="G771" s="100"/>
    </row>
    <row r="772" ht="12.75" customHeight="1">
      <c r="A772" s="100"/>
      <c r="B772" s="131"/>
      <c r="C772" s="93"/>
      <c r="D772" s="100"/>
      <c r="E772" s="129"/>
      <c r="F772" s="124"/>
      <c r="G772" s="100"/>
    </row>
    <row r="773" ht="12.75" customHeight="1">
      <c r="A773" s="100"/>
      <c r="B773" s="131"/>
      <c r="C773" s="93"/>
      <c r="D773" s="100"/>
      <c r="E773" s="129"/>
      <c r="F773" s="124"/>
      <c r="G773" s="100"/>
    </row>
    <row r="774" ht="12.75" customHeight="1">
      <c r="A774" s="100"/>
      <c r="B774" s="131"/>
      <c r="C774" s="93"/>
      <c r="D774" s="100"/>
      <c r="E774" s="129"/>
      <c r="F774" s="124"/>
      <c r="G774" s="100"/>
    </row>
    <row r="775" ht="12.75" customHeight="1">
      <c r="A775" s="100"/>
      <c r="B775" s="131"/>
      <c r="C775" s="93"/>
      <c r="D775" s="100"/>
      <c r="E775" s="129"/>
      <c r="F775" s="124"/>
      <c r="G775" s="100"/>
    </row>
    <row r="776" ht="12.75" customHeight="1">
      <c r="A776" s="100"/>
      <c r="B776" s="131"/>
      <c r="C776" s="93"/>
      <c r="D776" s="100"/>
      <c r="E776" s="129"/>
      <c r="F776" s="124"/>
      <c r="G776" s="100"/>
    </row>
    <row r="777" ht="12.75" customHeight="1">
      <c r="A777" s="100"/>
      <c r="B777" s="131"/>
      <c r="C777" s="93"/>
      <c r="D777" s="100"/>
      <c r="E777" s="129"/>
      <c r="F777" s="124"/>
      <c r="G777" s="100"/>
    </row>
    <row r="778" ht="12.75" customHeight="1">
      <c r="A778" s="100"/>
      <c r="B778" s="131"/>
      <c r="C778" s="93"/>
      <c r="D778" s="100"/>
      <c r="E778" s="129"/>
      <c r="F778" s="124"/>
      <c r="G778" s="100"/>
    </row>
    <row r="779" ht="12.75" customHeight="1">
      <c r="A779" s="100"/>
      <c r="B779" s="131"/>
      <c r="C779" s="93"/>
      <c r="D779" s="100"/>
      <c r="E779" s="129"/>
      <c r="F779" s="124"/>
      <c r="G779" s="100"/>
    </row>
    <row r="780" ht="12.75" customHeight="1">
      <c r="A780" s="100"/>
      <c r="B780" s="131"/>
      <c r="C780" s="93"/>
      <c r="D780" s="100"/>
      <c r="E780" s="129"/>
      <c r="F780" s="124"/>
      <c r="G780" s="100"/>
    </row>
    <row r="781" ht="12.75" customHeight="1">
      <c r="A781" s="100"/>
      <c r="B781" s="131"/>
      <c r="C781" s="93"/>
      <c r="D781" s="100"/>
      <c r="E781" s="129"/>
      <c r="F781" s="124"/>
      <c r="G781" s="100"/>
    </row>
    <row r="782" ht="12.75" customHeight="1">
      <c r="A782" s="100"/>
      <c r="B782" s="131"/>
      <c r="C782" s="93"/>
      <c r="D782" s="100"/>
      <c r="E782" s="129"/>
      <c r="F782" s="124"/>
      <c r="G782" s="100"/>
    </row>
    <row r="783" ht="12.75" customHeight="1">
      <c r="A783" s="100"/>
      <c r="B783" s="131"/>
      <c r="C783" s="93"/>
      <c r="D783" s="100"/>
      <c r="E783" s="129"/>
      <c r="F783" s="124"/>
      <c r="G783" s="100"/>
    </row>
    <row r="784" ht="12.75" customHeight="1">
      <c r="A784" s="100"/>
      <c r="B784" s="131"/>
      <c r="C784" s="93"/>
      <c r="D784" s="100"/>
      <c r="E784" s="129"/>
      <c r="F784" s="124"/>
      <c r="G784" s="100"/>
    </row>
    <row r="785" ht="12.75" customHeight="1">
      <c r="A785" s="100"/>
      <c r="B785" s="131"/>
      <c r="C785" s="93"/>
      <c r="D785" s="100"/>
      <c r="E785" s="129"/>
      <c r="F785" s="124"/>
      <c r="G785" s="100"/>
    </row>
    <row r="786" ht="12.75" customHeight="1">
      <c r="A786" s="100"/>
      <c r="B786" s="131"/>
      <c r="C786" s="93"/>
      <c r="D786" s="100"/>
      <c r="E786" s="129"/>
      <c r="F786" s="124"/>
      <c r="G786" s="100"/>
    </row>
    <row r="787" ht="12.75" customHeight="1">
      <c r="A787" s="100"/>
      <c r="B787" s="131"/>
      <c r="C787" s="93"/>
      <c r="D787" s="100"/>
      <c r="E787" s="129"/>
      <c r="F787" s="124"/>
      <c r="G787" s="100"/>
    </row>
    <row r="788" ht="12.75" customHeight="1">
      <c r="A788" s="100"/>
      <c r="B788" s="131"/>
      <c r="C788" s="93"/>
      <c r="D788" s="100"/>
      <c r="E788" s="129"/>
      <c r="F788" s="124"/>
      <c r="G788" s="100"/>
    </row>
    <row r="789" ht="12.75" customHeight="1">
      <c r="A789" s="100"/>
      <c r="B789" s="131"/>
      <c r="C789" s="93"/>
      <c r="D789" s="100"/>
      <c r="E789" s="129"/>
      <c r="F789" s="124"/>
      <c r="G789" s="100"/>
    </row>
    <row r="790" ht="12.75" customHeight="1">
      <c r="A790" s="100"/>
      <c r="B790" s="131"/>
      <c r="C790" s="93"/>
      <c r="D790" s="100"/>
      <c r="E790" s="129"/>
      <c r="F790" s="124"/>
      <c r="G790" s="100"/>
    </row>
    <row r="791" ht="12.75" customHeight="1">
      <c r="A791" s="100"/>
      <c r="B791" s="131"/>
      <c r="C791" s="93"/>
      <c r="D791" s="100"/>
      <c r="E791" s="129"/>
      <c r="F791" s="124"/>
      <c r="G791" s="100"/>
    </row>
    <row r="792" ht="12.75" customHeight="1">
      <c r="A792" s="100"/>
      <c r="B792" s="131"/>
      <c r="C792" s="93"/>
      <c r="D792" s="100"/>
      <c r="E792" s="129"/>
      <c r="F792" s="124"/>
      <c r="G792" s="100"/>
    </row>
    <row r="793" ht="12.75" customHeight="1">
      <c r="A793" s="100"/>
      <c r="B793" s="131"/>
      <c r="C793" s="93"/>
      <c r="D793" s="100"/>
      <c r="E793" s="129"/>
      <c r="F793" s="124"/>
      <c r="G793" s="100"/>
    </row>
    <row r="794" ht="12.75" customHeight="1">
      <c r="A794" s="100"/>
      <c r="B794" s="131"/>
      <c r="C794" s="93"/>
      <c r="D794" s="100"/>
      <c r="E794" s="129"/>
      <c r="F794" s="124"/>
      <c r="G794" s="100"/>
    </row>
    <row r="795" ht="12.75" customHeight="1">
      <c r="A795" s="100"/>
      <c r="B795" s="131"/>
      <c r="C795" s="93"/>
      <c r="D795" s="100"/>
      <c r="E795" s="129"/>
      <c r="F795" s="124"/>
      <c r="G795" s="100"/>
    </row>
    <row r="796" ht="12.75" customHeight="1">
      <c r="A796" s="100"/>
      <c r="B796" s="131"/>
      <c r="C796" s="93"/>
      <c r="D796" s="100"/>
      <c r="E796" s="129"/>
      <c r="F796" s="124"/>
      <c r="G796" s="100"/>
    </row>
    <row r="797" ht="12.75" customHeight="1">
      <c r="A797" s="100"/>
      <c r="B797" s="131"/>
      <c r="C797" s="93"/>
      <c r="D797" s="100"/>
      <c r="E797" s="129"/>
      <c r="F797" s="124"/>
      <c r="G797" s="100"/>
    </row>
    <row r="798" ht="12.75" customHeight="1">
      <c r="A798" s="100"/>
      <c r="B798" s="131"/>
      <c r="C798" s="93"/>
      <c r="D798" s="100"/>
      <c r="E798" s="129"/>
      <c r="F798" s="124"/>
      <c r="G798" s="100"/>
    </row>
    <row r="799" ht="12.75" customHeight="1">
      <c r="A799" s="100"/>
      <c r="B799" s="131"/>
      <c r="C799" s="93"/>
      <c r="D799" s="100"/>
      <c r="E799" s="129"/>
      <c r="F799" s="124"/>
      <c r="G799" s="100"/>
    </row>
    <row r="800" ht="12.75" customHeight="1">
      <c r="A800" s="100"/>
      <c r="B800" s="131"/>
      <c r="C800" s="93"/>
      <c r="D800" s="100"/>
      <c r="E800" s="129"/>
      <c r="F800" s="124"/>
      <c r="G800" s="100"/>
    </row>
    <row r="801" ht="12.75" customHeight="1">
      <c r="A801" s="100"/>
      <c r="B801" s="131"/>
      <c r="C801" s="93"/>
      <c r="D801" s="100"/>
      <c r="E801" s="129"/>
      <c r="F801" s="124"/>
      <c r="G801" s="100"/>
    </row>
    <row r="802" ht="12.75" customHeight="1">
      <c r="A802" s="100"/>
      <c r="B802" s="131"/>
      <c r="C802" s="93"/>
      <c r="D802" s="100"/>
      <c r="E802" s="129"/>
      <c r="F802" s="124"/>
      <c r="G802" s="100"/>
    </row>
    <row r="803" ht="12.75" customHeight="1">
      <c r="A803" s="100"/>
      <c r="B803" s="131"/>
      <c r="C803" s="93"/>
      <c r="D803" s="100"/>
      <c r="E803" s="129"/>
      <c r="F803" s="124"/>
      <c r="G803" s="100"/>
    </row>
    <row r="804" ht="12.75" customHeight="1">
      <c r="A804" s="100"/>
      <c r="B804" s="131"/>
      <c r="C804" s="93"/>
      <c r="D804" s="100"/>
      <c r="E804" s="129"/>
      <c r="F804" s="124"/>
      <c r="G804" s="100"/>
    </row>
    <row r="805" ht="12.75" customHeight="1">
      <c r="A805" s="100"/>
      <c r="B805" s="131"/>
      <c r="C805" s="93"/>
      <c r="D805" s="100"/>
      <c r="E805" s="129"/>
      <c r="F805" s="124"/>
      <c r="G805" s="100"/>
    </row>
    <row r="806" ht="12.75" customHeight="1">
      <c r="A806" s="100"/>
      <c r="B806" s="131"/>
      <c r="C806" s="93"/>
      <c r="D806" s="100"/>
      <c r="E806" s="129"/>
      <c r="F806" s="124"/>
      <c r="G806" s="100"/>
    </row>
    <row r="807" ht="12.75" customHeight="1">
      <c r="A807" s="100"/>
      <c r="B807" s="131"/>
      <c r="C807" s="93"/>
      <c r="D807" s="100"/>
      <c r="E807" s="129"/>
      <c r="F807" s="124"/>
      <c r="G807" s="100"/>
    </row>
    <row r="808" ht="12.75" customHeight="1">
      <c r="A808" s="100"/>
      <c r="B808" s="131"/>
      <c r="C808" s="93"/>
      <c r="D808" s="100"/>
      <c r="E808" s="129"/>
      <c r="F808" s="124"/>
      <c r="G808" s="100"/>
    </row>
    <row r="809" ht="12.75" customHeight="1">
      <c r="A809" s="100"/>
      <c r="B809" s="131"/>
      <c r="C809" s="93"/>
      <c r="D809" s="100"/>
      <c r="E809" s="129"/>
      <c r="F809" s="124"/>
      <c r="G809" s="100"/>
    </row>
    <row r="810" ht="12.75" customHeight="1">
      <c r="A810" s="100"/>
      <c r="B810" s="131"/>
      <c r="C810" s="93"/>
      <c r="D810" s="100"/>
      <c r="E810" s="129"/>
      <c r="F810" s="124"/>
      <c r="G810" s="100"/>
    </row>
    <row r="811" ht="12.75" customHeight="1">
      <c r="A811" s="100"/>
      <c r="B811" s="131"/>
      <c r="C811" s="93"/>
      <c r="D811" s="100"/>
      <c r="E811" s="129"/>
      <c r="F811" s="124"/>
      <c r="G811" s="100"/>
    </row>
    <row r="812" ht="12.75" customHeight="1">
      <c r="A812" s="100"/>
      <c r="B812" s="131"/>
      <c r="C812" s="93"/>
      <c r="D812" s="100"/>
      <c r="E812" s="129"/>
      <c r="F812" s="124"/>
      <c r="G812" s="100"/>
    </row>
    <row r="813" ht="12.75" customHeight="1">
      <c r="A813" s="100"/>
      <c r="B813" s="131"/>
      <c r="C813" s="93"/>
      <c r="D813" s="100"/>
      <c r="E813" s="129"/>
      <c r="F813" s="124"/>
      <c r="G813" s="100"/>
    </row>
    <row r="814" ht="12.75" customHeight="1">
      <c r="A814" s="100"/>
      <c r="B814" s="131"/>
      <c r="C814" s="93"/>
      <c r="D814" s="100"/>
      <c r="E814" s="129"/>
      <c r="F814" s="124"/>
      <c r="G814" s="100"/>
    </row>
    <row r="815" ht="12.75" customHeight="1">
      <c r="A815" s="100"/>
      <c r="B815" s="131"/>
      <c r="C815" s="93"/>
      <c r="D815" s="100"/>
      <c r="E815" s="129"/>
      <c r="F815" s="124"/>
      <c r="G815" s="100"/>
    </row>
    <row r="816" ht="12.75" customHeight="1">
      <c r="A816" s="100"/>
      <c r="B816" s="131"/>
      <c r="C816" s="93"/>
      <c r="D816" s="100"/>
      <c r="E816" s="129"/>
      <c r="F816" s="124"/>
      <c r="G816" s="100"/>
    </row>
    <row r="817" ht="12.75" customHeight="1">
      <c r="A817" s="100"/>
      <c r="B817" s="131"/>
      <c r="C817" s="93"/>
      <c r="D817" s="100"/>
      <c r="E817" s="129"/>
      <c r="F817" s="124"/>
      <c r="G817" s="100"/>
    </row>
    <row r="818" ht="12.75" customHeight="1">
      <c r="A818" s="100"/>
      <c r="B818" s="131"/>
      <c r="C818" s="93"/>
      <c r="D818" s="100"/>
      <c r="E818" s="129"/>
      <c r="F818" s="124"/>
      <c r="G818" s="100"/>
    </row>
    <row r="819" ht="12.75" customHeight="1">
      <c r="A819" s="100"/>
      <c r="B819" s="131"/>
      <c r="C819" s="93"/>
      <c r="D819" s="100"/>
      <c r="E819" s="129"/>
      <c r="F819" s="124"/>
      <c r="G819" s="100"/>
    </row>
    <row r="820" ht="12.75" customHeight="1">
      <c r="A820" s="100"/>
      <c r="B820" s="131"/>
      <c r="C820" s="93"/>
      <c r="D820" s="100"/>
      <c r="E820" s="129"/>
      <c r="F820" s="124"/>
      <c r="G820" s="100"/>
    </row>
    <row r="821" ht="12.75" customHeight="1">
      <c r="A821" s="100"/>
      <c r="B821" s="131"/>
      <c r="C821" s="93"/>
      <c r="D821" s="100"/>
      <c r="E821" s="129"/>
      <c r="F821" s="124"/>
      <c r="G821" s="100"/>
    </row>
    <row r="822" ht="12.75" customHeight="1">
      <c r="A822" s="100"/>
      <c r="B822" s="131"/>
      <c r="C822" s="93"/>
      <c r="D822" s="100"/>
      <c r="E822" s="129"/>
      <c r="F822" s="124"/>
      <c r="G822" s="100"/>
    </row>
    <row r="823" ht="12.75" customHeight="1">
      <c r="A823" s="100"/>
      <c r="B823" s="131"/>
      <c r="C823" s="93"/>
      <c r="D823" s="100"/>
      <c r="E823" s="129"/>
      <c r="F823" s="124"/>
      <c r="G823" s="100"/>
    </row>
    <row r="824" ht="12.75" customHeight="1">
      <c r="A824" s="100"/>
      <c r="B824" s="131"/>
      <c r="C824" s="93"/>
      <c r="D824" s="100"/>
      <c r="E824" s="129"/>
      <c r="F824" s="124"/>
      <c r="G824" s="100"/>
    </row>
    <row r="825" ht="12.75" customHeight="1">
      <c r="A825" s="100"/>
      <c r="B825" s="131"/>
      <c r="C825" s="93"/>
      <c r="D825" s="100"/>
      <c r="E825" s="129"/>
      <c r="F825" s="124"/>
      <c r="G825" s="100"/>
    </row>
    <row r="826" ht="12.75" customHeight="1">
      <c r="A826" s="100"/>
      <c r="B826" s="131"/>
      <c r="C826" s="93"/>
      <c r="D826" s="100"/>
      <c r="E826" s="129"/>
      <c r="F826" s="124"/>
      <c r="G826" s="100"/>
    </row>
    <row r="827" ht="12.75" customHeight="1">
      <c r="A827" s="100"/>
      <c r="B827" s="131"/>
      <c r="C827" s="93"/>
      <c r="D827" s="100"/>
      <c r="E827" s="129"/>
      <c r="F827" s="124"/>
      <c r="G827" s="100"/>
    </row>
    <row r="828" ht="12.75" customHeight="1">
      <c r="A828" s="100"/>
      <c r="B828" s="131"/>
      <c r="C828" s="93"/>
      <c r="D828" s="100"/>
      <c r="E828" s="129"/>
      <c r="F828" s="124"/>
      <c r="G828" s="100"/>
    </row>
    <row r="829" ht="12.75" customHeight="1">
      <c r="A829" s="100"/>
      <c r="B829" s="131"/>
      <c r="C829" s="93"/>
      <c r="D829" s="100"/>
      <c r="E829" s="129"/>
      <c r="F829" s="124"/>
      <c r="G829" s="100"/>
    </row>
    <row r="830" ht="12.75" customHeight="1">
      <c r="A830" s="100"/>
      <c r="B830" s="131"/>
      <c r="C830" s="93"/>
      <c r="D830" s="100"/>
      <c r="E830" s="129"/>
      <c r="F830" s="124"/>
      <c r="G830" s="100"/>
    </row>
    <row r="831" ht="12.75" customHeight="1">
      <c r="A831" s="100"/>
      <c r="B831" s="131"/>
      <c r="C831" s="93"/>
      <c r="D831" s="100"/>
      <c r="E831" s="129"/>
      <c r="F831" s="124"/>
      <c r="G831" s="100"/>
    </row>
    <row r="832" ht="12.75" customHeight="1">
      <c r="A832" s="100"/>
      <c r="B832" s="131"/>
      <c r="C832" s="93"/>
      <c r="D832" s="100"/>
      <c r="E832" s="129"/>
      <c r="F832" s="124"/>
      <c r="G832" s="100"/>
    </row>
    <row r="833" ht="12.75" customHeight="1">
      <c r="A833" s="100"/>
      <c r="B833" s="131"/>
      <c r="C833" s="93"/>
      <c r="D833" s="100"/>
      <c r="E833" s="129"/>
      <c r="F833" s="124"/>
      <c r="G833" s="100"/>
    </row>
    <row r="834" ht="12.75" customHeight="1">
      <c r="A834" s="100"/>
      <c r="B834" s="131"/>
      <c r="C834" s="93"/>
      <c r="D834" s="100"/>
      <c r="E834" s="129"/>
      <c r="F834" s="124"/>
      <c r="G834" s="100"/>
    </row>
    <row r="835" ht="12.75" customHeight="1">
      <c r="A835" s="100"/>
      <c r="B835" s="131"/>
      <c r="C835" s="93"/>
      <c r="D835" s="100"/>
      <c r="E835" s="129"/>
      <c r="F835" s="124"/>
      <c r="G835" s="100"/>
    </row>
    <row r="836" ht="12.75" customHeight="1">
      <c r="A836" s="100"/>
      <c r="B836" s="131"/>
      <c r="C836" s="93"/>
      <c r="D836" s="100"/>
      <c r="E836" s="129"/>
      <c r="F836" s="124"/>
      <c r="G836" s="100"/>
    </row>
    <row r="837" ht="12.75" customHeight="1">
      <c r="A837" s="100"/>
      <c r="B837" s="131"/>
      <c r="C837" s="93"/>
      <c r="D837" s="100"/>
      <c r="E837" s="129"/>
      <c r="F837" s="124"/>
      <c r="G837" s="100"/>
    </row>
    <row r="838" ht="12.75" customHeight="1">
      <c r="A838" s="100"/>
      <c r="B838" s="131"/>
      <c r="C838" s="93"/>
      <c r="D838" s="100"/>
      <c r="E838" s="129"/>
      <c r="F838" s="124"/>
      <c r="G838" s="100"/>
    </row>
    <row r="839" ht="12.75" customHeight="1">
      <c r="A839" s="100"/>
      <c r="B839" s="131"/>
      <c r="C839" s="93"/>
      <c r="D839" s="100"/>
      <c r="E839" s="129"/>
      <c r="F839" s="124"/>
      <c r="G839" s="100"/>
    </row>
    <row r="840" ht="12.75" customHeight="1">
      <c r="A840" s="100"/>
      <c r="B840" s="131"/>
      <c r="C840" s="93"/>
      <c r="D840" s="100"/>
      <c r="E840" s="129"/>
      <c r="F840" s="124"/>
      <c r="G840" s="100"/>
    </row>
    <row r="841" ht="12.75" customHeight="1">
      <c r="A841" s="100"/>
      <c r="B841" s="131"/>
      <c r="C841" s="93"/>
      <c r="D841" s="100"/>
      <c r="E841" s="129"/>
      <c r="F841" s="124"/>
      <c r="G841" s="100"/>
    </row>
    <row r="842" ht="12.75" customHeight="1">
      <c r="A842" s="100"/>
      <c r="B842" s="131"/>
      <c r="C842" s="93"/>
      <c r="D842" s="100"/>
      <c r="E842" s="129"/>
      <c r="F842" s="124"/>
      <c r="G842" s="100"/>
    </row>
    <row r="843" ht="12.75" customHeight="1">
      <c r="A843" s="100"/>
      <c r="B843" s="131"/>
      <c r="C843" s="93"/>
      <c r="D843" s="100"/>
      <c r="E843" s="129"/>
      <c r="F843" s="124"/>
      <c r="G843" s="100"/>
    </row>
    <row r="844" ht="12.75" customHeight="1">
      <c r="A844" s="100"/>
      <c r="B844" s="131"/>
      <c r="C844" s="93"/>
      <c r="D844" s="100"/>
      <c r="E844" s="129"/>
      <c r="F844" s="124"/>
      <c r="G844" s="100"/>
    </row>
    <row r="845" ht="12.75" customHeight="1">
      <c r="A845" s="100"/>
      <c r="B845" s="131"/>
      <c r="C845" s="93"/>
      <c r="D845" s="100"/>
      <c r="E845" s="129"/>
      <c r="F845" s="124"/>
      <c r="G845" s="100"/>
    </row>
    <row r="846" ht="12.75" customHeight="1">
      <c r="A846" s="100"/>
      <c r="B846" s="131"/>
      <c r="C846" s="93"/>
      <c r="D846" s="100"/>
      <c r="E846" s="129"/>
      <c r="F846" s="124"/>
      <c r="G846" s="100"/>
    </row>
    <row r="847" ht="12.75" customHeight="1">
      <c r="A847" s="100"/>
      <c r="B847" s="131"/>
      <c r="C847" s="93"/>
      <c r="D847" s="100"/>
      <c r="E847" s="129"/>
      <c r="F847" s="124"/>
      <c r="G847" s="100"/>
    </row>
    <row r="848" ht="12.75" customHeight="1">
      <c r="A848" s="100"/>
      <c r="B848" s="131"/>
      <c r="C848" s="93"/>
      <c r="D848" s="100"/>
      <c r="E848" s="129"/>
      <c r="F848" s="124"/>
      <c r="G848" s="100"/>
    </row>
    <row r="849" ht="12.75" customHeight="1">
      <c r="A849" s="100"/>
      <c r="B849" s="131"/>
      <c r="C849" s="93"/>
      <c r="D849" s="100"/>
      <c r="E849" s="129"/>
      <c r="F849" s="124"/>
      <c r="G849" s="100"/>
    </row>
    <row r="850" ht="12.75" customHeight="1">
      <c r="A850" s="100"/>
      <c r="B850" s="131"/>
      <c r="C850" s="93"/>
      <c r="D850" s="100"/>
      <c r="E850" s="129"/>
      <c r="F850" s="124"/>
      <c r="G850" s="100"/>
    </row>
    <row r="851" ht="12.75" customHeight="1">
      <c r="A851" s="100"/>
      <c r="B851" s="131"/>
      <c r="C851" s="93"/>
      <c r="D851" s="100"/>
      <c r="E851" s="129"/>
      <c r="F851" s="124"/>
      <c r="G851" s="100"/>
    </row>
    <row r="852" ht="12.75" customHeight="1">
      <c r="A852" s="100"/>
      <c r="B852" s="131"/>
      <c r="C852" s="93"/>
      <c r="D852" s="100"/>
      <c r="E852" s="129"/>
      <c r="F852" s="124"/>
      <c r="G852" s="100"/>
    </row>
    <row r="853" ht="12.75" customHeight="1">
      <c r="A853" s="100"/>
      <c r="B853" s="131"/>
      <c r="C853" s="93"/>
      <c r="D853" s="100"/>
      <c r="E853" s="129"/>
      <c r="F853" s="124"/>
      <c r="G853" s="100"/>
    </row>
    <row r="854" ht="12.75" customHeight="1">
      <c r="A854" s="100"/>
      <c r="B854" s="131"/>
      <c r="C854" s="93"/>
      <c r="D854" s="100"/>
      <c r="E854" s="129"/>
      <c r="F854" s="124"/>
      <c r="G854" s="100"/>
    </row>
    <row r="855" ht="12.75" customHeight="1">
      <c r="A855" s="100"/>
      <c r="B855" s="131"/>
      <c r="C855" s="93"/>
      <c r="D855" s="100"/>
      <c r="E855" s="129"/>
      <c r="F855" s="124"/>
      <c r="G855" s="100"/>
    </row>
    <row r="856" ht="12.75" customHeight="1">
      <c r="A856" s="100"/>
      <c r="B856" s="131"/>
      <c r="C856" s="93"/>
      <c r="D856" s="100"/>
      <c r="E856" s="129"/>
      <c r="F856" s="124"/>
      <c r="G856" s="100"/>
    </row>
    <row r="857" ht="12.75" customHeight="1">
      <c r="A857" s="100"/>
      <c r="B857" s="131"/>
      <c r="C857" s="93"/>
      <c r="D857" s="100"/>
      <c r="E857" s="129"/>
      <c r="F857" s="124"/>
      <c r="G857" s="100"/>
    </row>
    <row r="858" ht="12.75" customHeight="1">
      <c r="A858" s="100"/>
      <c r="B858" s="131"/>
      <c r="C858" s="93"/>
      <c r="D858" s="100"/>
      <c r="E858" s="129"/>
      <c r="F858" s="124"/>
      <c r="G858" s="100"/>
    </row>
    <row r="859" ht="12.75" customHeight="1">
      <c r="A859" s="100"/>
      <c r="B859" s="131"/>
      <c r="C859" s="93"/>
      <c r="D859" s="100"/>
      <c r="E859" s="129"/>
      <c r="F859" s="124"/>
      <c r="G859" s="100"/>
    </row>
    <row r="860" ht="12.75" customHeight="1">
      <c r="A860" s="100"/>
      <c r="B860" s="131"/>
      <c r="C860" s="93"/>
      <c r="D860" s="100"/>
      <c r="E860" s="129"/>
      <c r="F860" s="124"/>
      <c r="G860" s="100"/>
    </row>
    <row r="861" ht="12.75" customHeight="1">
      <c r="A861" s="100"/>
      <c r="B861" s="131"/>
      <c r="C861" s="93"/>
      <c r="D861" s="100"/>
      <c r="E861" s="129"/>
      <c r="F861" s="124"/>
      <c r="G861" s="100"/>
    </row>
    <row r="862" ht="12.75" customHeight="1">
      <c r="A862" s="100"/>
      <c r="B862" s="131"/>
      <c r="C862" s="93"/>
      <c r="D862" s="100"/>
      <c r="E862" s="129"/>
      <c r="F862" s="124"/>
      <c r="G862" s="100"/>
    </row>
    <row r="863" ht="12.75" customHeight="1">
      <c r="A863" s="100"/>
      <c r="B863" s="131"/>
      <c r="C863" s="93"/>
      <c r="D863" s="100"/>
      <c r="E863" s="129"/>
      <c r="F863" s="124"/>
      <c r="G863" s="100"/>
    </row>
    <row r="864" ht="12.75" customHeight="1">
      <c r="A864" s="100"/>
      <c r="B864" s="131"/>
      <c r="C864" s="93"/>
      <c r="D864" s="100"/>
      <c r="E864" s="129"/>
      <c r="F864" s="124"/>
      <c r="G864" s="100"/>
    </row>
    <row r="865" ht="12.75" customHeight="1">
      <c r="A865" s="100"/>
      <c r="B865" s="131"/>
      <c r="C865" s="93"/>
      <c r="D865" s="100"/>
      <c r="E865" s="129"/>
      <c r="F865" s="124"/>
      <c r="G865" s="100"/>
    </row>
    <row r="866" ht="12.75" customHeight="1">
      <c r="A866" s="100"/>
      <c r="B866" s="131"/>
      <c r="C866" s="93"/>
      <c r="D866" s="100"/>
      <c r="E866" s="129"/>
      <c r="F866" s="124"/>
      <c r="G866" s="100"/>
    </row>
    <row r="867" ht="12.75" customHeight="1">
      <c r="A867" s="100"/>
      <c r="B867" s="131"/>
      <c r="C867" s="93"/>
      <c r="D867" s="100"/>
      <c r="E867" s="129"/>
      <c r="F867" s="124"/>
      <c r="G867" s="100"/>
    </row>
    <row r="868" ht="12.75" customHeight="1">
      <c r="A868" s="100"/>
      <c r="B868" s="131"/>
      <c r="C868" s="93"/>
      <c r="D868" s="100"/>
      <c r="E868" s="129"/>
      <c r="F868" s="124"/>
      <c r="G868" s="100"/>
    </row>
    <row r="869" ht="12.75" customHeight="1">
      <c r="A869" s="100"/>
      <c r="B869" s="131"/>
      <c r="C869" s="93"/>
      <c r="D869" s="100"/>
      <c r="E869" s="129"/>
      <c r="F869" s="124"/>
      <c r="G869" s="100"/>
    </row>
    <row r="870" ht="12.75" customHeight="1">
      <c r="A870" s="100"/>
      <c r="B870" s="131"/>
      <c r="C870" s="93"/>
      <c r="D870" s="100"/>
      <c r="E870" s="129"/>
      <c r="F870" s="124"/>
      <c r="G870" s="100"/>
    </row>
    <row r="871" ht="12.75" customHeight="1">
      <c r="A871" s="100"/>
      <c r="B871" s="131"/>
      <c r="C871" s="93"/>
      <c r="D871" s="100"/>
      <c r="E871" s="129"/>
      <c r="F871" s="124"/>
      <c r="G871" s="100"/>
    </row>
    <row r="872" ht="12.75" customHeight="1">
      <c r="A872" s="100"/>
      <c r="B872" s="131"/>
      <c r="C872" s="93"/>
      <c r="D872" s="100"/>
      <c r="E872" s="129"/>
      <c r="F872" s="124"/>
      <c r="G872" s="100"/>
    </row>
    <row r="873" ht="12.75" customHeight="1">
      <c r="A873" s="100"/>
      <c r="B873" s="131"/>
      <c r="C873" s="93"/>
      <c r="D873" s="100"/>
      <c r="E873" s="129"/>
      <c r="F873" s="124"/>
      <c r="G873" s="100"/>
    </row>
    <row r="874" ht="12.75" customHeight="1">
      <c r="A874" s="100"/>
      <c r="B874" s="131"/>
      <c r="C874" s="93"/>
      <c r="D874" s="100"/>
      <c r="E874" s="129"/>
      <c r="F874" s="124"/>
      <c r="G874" s="100"/>
    </row>
    <row r="875" ht="12.75" customHeight="1">
      <c r="A875" s="100"/>
      <c r="B875" s="131"/>
      <c r="C875" s="93"/>
      <c r="D875" s="100"/>
      <c r="E875" s="129"/>
      <c r="F875" s="124"/>
      <c r="G875" s="100"/>
    </row>
    <row r="876" ht="12.75" customHeight="1">
      <c r="A876" s="100"/>
      <c r="B876" s="131"/>
      <c r="C876" s="93"/>
      <c r="D876" s="100"/>
      <c r="E876" s="129"/>
      <c r="F876" s="124"/>
      <c r="G876" s="100"/>
    </row>
    <row r="877" ht="12.75" customHeight="1">
      <c r="A877" s="100"/>
      <c r="B877" s="131"/>
      <c r="C877" s="93"/>
      <c r="D877" s="100"/>
      <c r="E877" s="129"/>
      <c r="F877" s="124"/>
      <c r="G877" s="100"/>
    </row>
    <row r="878" ht="12.75" customHeight="1">
      <c r="A878" s="100"/>
      <c r="B878" s="131"/>
      <c r="C878" s="93"/>
      <c r="D878" s="100"/>
      <c r="E878" s="129"/>
      <c r="F878" s="124"/>
      <c r="G878" s="100"/>
    </row>
    <row r="879" ht="12.75" customHeight="1">
      <c r="A879" s="100"/>
      <c r="B879" s="131"/>
      <c r="C879" s="93"/>
      <c r="D879" s="100"/>
      <c r="E879" s="129"/>
      <c r="F879" s="124"/>
      <c r="G879" s="100"/>
    </row>
    <row r="880" ht="12.75" customHeight="1">
      <c r="A880" s="100"/>
      <c r="B880" s="131"/>
      <c r="C880" s="93"/>
      <c r="D880" s="100"/>
      <c r="E880" s="129"/>
      <c r="F880" s="124"/>
      <c r="G880" s="100"/>
    </row>
    <row r="881" ht="12.75" customHeight="1">
      <c r="A881" s="100"/>
      <c r="B881" s="131"/>
      <c r="C881" s="93"/>
      <c r="D881" s="100"/>
      <c r="E881" s="129"/>
      <c r="F881" s="124"/>
      <c r="G881" s="100"/>
    </row>
    <row r="882" ht="12.75" customHeight="1">
      <c r="A882" s="100"/>
      <c r="B882" s="131"/>
      <c r="C882" s="93"/>
      <c r="D882" s="100"/>
      <c r="E882" s="129"/>
      <c r="F882" s="124"/>
      <c r="G882" s="100"/>
    </row>
    <row r="883" ht="12.75" customHeight="1">
      <c r="A883" s="100"/>
      <c r="B883" s="131"/>
      <c r="C883" s="93"/>
      <c r="D883" s="100"/>
      <c r="E883" s="129"/>
      <c r="F883" s="124"/>
      <c r="G883" s="100"/>
    </row>
    <row r="884" ht="12.75" customHeight="1">
      <c r="A884" s="100"/>
      <c r="B884" s="131"/>
      <c r="C884" s="93"/>
      <c r="D884" s="100"/>
      <c r="E884" s="129"/>
      <c r="F884" s="124"/>
      <c r="G884" s="100"/>
    </row>
    <row r="885" ht="12.75" customHeight="1">
      <c r="A885" s="100"/>
      <c r="B885" s="131"/>
      <c r="C885" s="93"/>
      <c r="D885" s="100"/>
      <c r="E885" s="129"/>
      <c r="F885" s="124"/>
      <c r="G885" s="100"/>
    </row>
    <row r="886" ht="12.75" customHeight="1">
      <c r="A886" s="100"/>
      <c r="B886" s="131"/>
      <c r="C886" s="93"/>
      <c r="D886" s="100"/>
      <c r="E886" s="129"/>
      <c r="F886" s="124"/>
      <c r="G886" s="100"/>
    </row>
    <row r="887" ht="12.75" customHeight="1">
      <c r="A887" s="100"/>
      <c r="B887" s="131"/>
      <c r="C887" s="93"/>
      <c r="D887" s="100"/>
      <c r="E887" s="129"/>
      <c r="F887" s="124"/>
      <c r="G887" s="100"/>
    </row>
    <row r="888" ht="12.75" customHeight="1">
      <c r="A888" s="100"/>
      <c r="B888" s="131"/>
      <c r="C888" s="93"/>
      <c r="D888" s="100"/>
      <c r="E888" s="129"/>
      <c r="F888" s="124"/>
      <c r="G888" s="100"/>
    </row>
    <row r="889" ht="12.75" customHeight="1">
      <c r="A889" s="100"/>
      <c r="B889" s="131"/>
      <c r="C889" s="93"/>
      <c r="D889" s="100"/>
      <c r="E889" s="129"/>
      <c r="F889" s="124"/>
      <c r="G889" s="100"/>
    </row>
    <row r="890" ht="12.75" customHeight="1">
      <c r="A890" s="100"/>
      <c r="B890" s="131"/>
      <c r="C890" s="93"/>
      <c r="D890" s="100"/>
      <c r="E890" s="129"/>
      <c r="F890" s="124"/>
      <c r="G890" s="100"/>
    </row>
    <row r="891" ht="12.75" customHeight="1">
      <c r="A891" s="100"/>
      <c r="B891" s="131"/>
      <c r="C891" s="93"/>
      <c r="D891" s="100"/>
      <c r="E891" s="129"/>
      <c r="F891" s="124"/>
      <c r="G891" s="100"/>
    </row>
    <row r="892" ht="12.75" customHeight="1">
      <c r="A892" s="100"/>
      <c r="B892" s="131"/>
      <c r="C892" s="93"/>
      <c r="D892" s="100"/>
      <c r="E892" s="129"/>
      <c r="F892" s="124"/>
      <c r="G892" s="100"/>
    </row>
    <row r="893" ht="12.75" customHeight="1">
      <c r="A893" s="100"/>
      <c r="B893" s="131"/>
      <c r="C893" s="93"/>
      <c r="D893" s="100"/>
      <c r="E893" s="129"/>
      <c r="F893" s="124"/>
      <c r="G893" s="100"/>
    </row>
    <row r="894" ht="12.75" customHeight="1">
      <c r="A894" s="100"/>
      <c r="B894" s="131"/>
      <c r="C894" s="93"/>
      <c r="D894" s="100"/>
      <c r="E894" s="129"/>
      <c r="F894" s="124"/>
      <c r="G894" s="100"/>
    </row>
    <row r="895" ht="12.75" customHeight="1">
      <c r="A895" s="100"/>
      <c r="B895" s="131"/>
      <c r="C895" s="93"/>
      <c r="D895" s="100"/>
      <c r="E895" s="129"/>
      <c r="F895" s="124"/>
      <c r="G895" s="100"/>
    </row>
    <row r="896" ht="12.75" customHeight="1">
      <c r="A896" s="100"/>
      <c r="B896" s="131"/>
      <c r="C896" s="93"/>
      <c r="D896" s="100"/>
      <c r="E896" s="129"/>
      <c r="F896" s="124"/>
      <c r="G896" s="100"/>
    </row>
    <row r="897" ht="12.75" customHeight="1">
      <c r="A897" s="100"/>
      <c r="B897" s="131"/>
      <c r="C897" s="93"/>
      <c r="D897" s="100"/>
      <c r="E897" s="129"/>
      <c r="F897" s="124"/>
      <c r="G897" s="100"/>
    </row>
    <row r="898" ht="12.75" customHeight="1">
      <c r="A898" s="100"/>
      <c r="B898" s="131"/>
      <c r="C898" s="93"/>
      <c r="D898" s="100"/>
      <c r="E898" s="129"/>
      <c r="F898" s="124"/>
      <c r="G898" s="100"/>
    </row>
    <row r="899" ht="12.75" customHeight="1">
      <c r="A899" s="100"/>
      <c r="B899" s="131"/>
      <c r="C899" s="93"/>
      <c r="D899" s="100"/>
      <c r="E899" s="129"/>
      <c r="F899" s="124"/>
      <c r="G899" s="100"/>
    </row>
    <row r="900" ht="12.75" customHeight="1">
      <c r="A900" s="100"/>
      <c r="B900" s="131"/>
      <c r="C900" s="93"/>
      <c r="D900" s="100"/>
      <c r="E900" s="129"/>
      <c r="F900" s="124"/>
      <c r="G900" s="100"/>
    </row>
    <row r="901" ht="12.75" customHeight="1">
      <c r="A901" s="100"/>
      <c r="B901" s="131"/>
      <c r="C901" s="93"/>
      <c r="D901" s="100"/>
      <c r="E901" s="129"/>
      <c r="F901" s="124"/>
      <c r="G901" s="100"/>
    </row>
    <row r="902" ht="12.75" customHeight="1">
      <c r="A902" s="100"/>
      <c r="B902" s="131"/>
      <c r="C902" s="93"/>
      <c r="D902" s="100"/>
      <c r="E902" s="129"/>
      <c r="F902" s="124"/>
      <c r="G902" s="100"/>
    </row>
    <row r="903" ht="12.75" customHeight="1">
      <c r="A903" s="100"/>
      <c r="B903" s="131"/>
      <c r="C903" s="93"/>
      <c r="D903" s="100"/>
      <c r="E903" s="129"/>
      <c r="F903" s="124"/>
      <c r="G903" s="100"/>
    </row>
    <row r="904" ht="12.75" customHeight="1">
      <c r="A904" s="100"/>
      <c r="B904" s="131"/>
      <c r="C904" s="93"/>
      <c r="D904" s="100"/>
      <c r="E904" s="129"/>
      <c r="F904" s="124"/>
      <c r="G904" s="100"/>
    </row>
    <row r="905" ht="12.75" customHeight="1">
      <c r="A905" s="100"/>
      <c r="B905" s="131"/>
      <c r="C905" s="93"/>
      <c r="D905" s="100"/>
      <c r="E905" s="129"/>
      <c r="F905" s="124"/>
      <c r="G905" s="100"/>
    </row>
    <row r="906" ht="12.75" customHeight="1">
      <c r="A906" s="100"/>
      <c r="B906" s="131"/>
      <c r="C906" s="93"/>
      <c r="D906" s="100"/>
      <c r="E906" s="129"/>
      <c r="F906" s="124"/>
      <c r="G906" s="100"/>
    </row>
    <row r="907" ht="12.75" customHeight="1">
      <c r="A907" s="100"/>
      <c r="B907" s="131"/>
      <c r="C907" s="93"/>
      <c r="D907" s="100"/>
      <c r="E907" s="129"/>
      <c r="F907" s="124"/>
      <c r="G907" s="100"/>
    </row>
    <row r="908" ht="12.75" customHeight="1">
      <c r="A908" s="100"/>
      <c r="B908" s="131"/>
      <c r="C908" s="93"/>
      <c r="D908" s="100"/>
      <c r="E908" s="129"/>
      <c r="F908" s="124"/>
      <c r="G908" s="100"/>
    </row>
    <row r="909" ht="12.75" customHeight="1">
      <c r="A909" s="100"/>
      <c r="B909" s="131"/>
      <c r="C909" s="93"/>
      <c r="D909" s="100"/>
      <c r="E909" s="129"/>
      <c r="F909" s="124"/>
      <c r="G909" s="100"/>
    </row>
    <row r="910" ht="12.75" customHeight="1">
      <c r="A910" s="100"/>
      <c r="B910" s="131"/>
      <c r="C910" s="93"/>
      <c r="D910" s="100"/>
      <c r="E910" s="129"/>
      <c r="F910" s="124"/>
      <c r="G910" s="100"/>
    </row>
    <row r="911" ht="12.75" customHeight="1">
      <c r="A911" s="100"/>
      <c r="B911" s="131"/>
      <c r="C911" s="93"/>
      <c r="D911" s="100"/>
      <c r="E911" s="129"/>
      <c r="F911" s="124"/>
      <c r="G911" s="100"/>
    </row>
    <row r="912" ht="12.75" customHeight="1">
      <c r="A912" s="100"/>
      <c r="B912" s="131"/>
      <c r="C912" s="93"/>
      <c r="D912" s="100"/>
      <c r="E912" s="129"/>
      <c r="F912" s="124"/>
      <c r="G912" s="100"/>
    </row>
    <row r="913" ht="12.75" customHeight="1">
      <c r="A913" s="100"/>
      <c r="B913" s="131"/>
      <c r="C913" s="93"/>
      <c r="D913" s="100"/>
      <c r="E913" s="129"/>
      <c r="F913" s="124"/>
      <c r="G913" s="100"/>
    </row>
    <row r="914" ht="12.75" customHeight="1">
      <c r="A914" s="100"/>
      <c r="B914" s="131"/>
      <c r="C914" s="93"/>
      <c r="D914" s="100"/>
      <c r="E914" s="129"/>
      <c r="F914" s="124"/>
      <c r="G914" s="100"/>
    </row>
    <row r="915" ht="12.75" customHeight="1">
      <c r="A915" s="100"/>
      <c r="B915" s="131"/>
      <c r="C915" s="93"/>
      <c r="D915" s="100"/>
      <c r="E915" s="129"/>
      <c r="F915" s="124"/>
      <c r="G915" s="100"/>
    </row>
    <row r="916" ht="12.75" customHeight="1">
      <c r="A916" s="100"/>
      <c r="B916" s="131"/>
      <c r="C916" s="93"/>
      <c r="D916" s="100"/>
      <c r="E916" s="129"/>
      <c r="F916" s="124"/>
      <c r="G916" s="100"/>
    </row>
    <row r="917" ht="12.75" customHeight="1">
      <c r="A917" s="100"/>
      <c r="B917" s="131"/>
      <c r="C917" s="93"/>
      <c r="D917" s="100"/>
      <c r="E917" s="129"/>
      <c r="F917" s="124"/>
      <c r="G917" s="100"/>
    </row>
    <row r="918" ht="12.75" customHeight="1">
      <c r="A918" s="100"/>
      <c r="B918" s="131"/>
      <c r="C918" s="93"/>
      <c r="D918" s="100"/>
      <c r="E918" s="129"/>
      <c r="F918" s="124"/>
      <c r="G918" s="100"/>
    </row>
    <row r="919" ht="12.75" customHeight="1">
      <c r="A919" s="100"/>
      <c r="B919" s="131"/>
      <c r="C919" s="93"/>
      <c r="D919" s="100"/>
      <c r="E919" s="129"/>
      <c r="F919" s="124"/>
      <c r="G919" s="100"/>
    </row>
    <row r="920" ht="12.75" customHeight="1">
      <c r="A920" s="100"/>
      <c r="B920" s="131"/>
      <c r="C920" s="93"/>
      <c r="D920" s="100"/>
      <c r="E920" s="129"/>
      <c r="F920" s="124"/>
      <c r="G920" s="100"/>
    </row>
    <row r="921" ht="12.75" customHeight="1">
      <c r="A921" s="100"/>
      <c r="B921" s="131"/>
      <c r="C921" s="93"/>
      <c r="D921" s="100"/>
      <c r="E921" s="129"/>
      <c r="F921" s="124"/>
      <c r="G921" s="100"/>
    </row>
    <row r="922" ht="12.75" customHeight="1">
      <c r="A922" s="100"/>
      <c r="B922" s="131"/>
      <c r="C922" s="93"/>
      <c r="D922" s="100"/>
      <c r="E922" s="129"/>
      <c r="F922" s="124"/>
      <c r="G922" s="100"/>
    </row>
    <row r="923" ht="12.75" customHeight="1">
      <c r="A923" s="100"/>
      <c r="B923" s="131"/>
      <c r="C923" s="93"/>
      <c r="D923" s="100"/>
      <c r="E923" s="129"/>
      <c r="F923" s="124"/>
      <c r="G923" s="100"/>
    </row>
    <row r="924" ht="12.75" customHeight="1">
      <c r="A924" s="100"/>
      <c r="B924" s="131"/>
      <c r="C924" s="93"/>
      <c r="D924" s="100"/>
      <c r="E924" s="129"/>
      <c r="F924" s="124"/>
      <c r="G924" s="100"/>
    </row>
    <row r="925" ht="12.75" customHeight="1">
      <c r="A925" s="100"/>
      <c r="B925" s="131"/>
      <c r="C925" s="93"/>
      <c r="D925" s="100"/>
      <c r="E925" s="129"/>
      <c r="F925" s="124"/>
      <c r="G925" s="100"/>
    </row>
    <row r="926" ht="12.75" customHeight="1">
      <c r="A926" s="100"/>
      <c r="B926" s="131"/>
      <c r="C926" s="93"/>
      <c r="D926" s="100"/>
      <c r="E926" s="129"/>
      <c r="F926" s="124"/>
      <c r="G926" s="100"/>
    </row>
    <row r="927" ht="12.75" customHeight="1">
      <c r="A927" s="100"/>
      <c r="B927" s="131"/>
      <c r="C927" s="93"/>
      <c r="D927" s="100"/>
      <c r="E927" s="129"/>
      <c r="F927" s="124"/>
      <c r="G927" s="100"/>
    </row>
    <row r="928" ht="12.75" customHeight="1">
      <c r="A928" s="100"/>
      <c r="B928" s="131"/>
      <c r="C928" s="93"/>
      <c r="D928" s="100"/>
      <c r="E928" s="129"/>
      <c r="F928" s="124"/>
      <c r="G928" s="100"/>
    </row>
    <row r="929" ht="12.75" customHeight="1">
      <c r="A929" s="100"/>
      <c r="B929" s="131"/>
      <c r="C929" s="93"/>
      <c r="D929" s="100"/>
      <c r="E929" s="129"/>
      <c r="F929" s="124"/>
      <c r="G929" s="100"/>
    </row>
    <row r="930" ht="12.75" customHeight="1">
      <c r="A930" s="100"/>
      <c r="B930" s="131"/>
      <c r="C930" s="93"/>
      <c r="D930" s="100"/>
      <c r="E930" s="129"/>
      <c r="F930" s="124"/>
      <c r="G930" s="100"/>
    </row>
    <row r="931" ht="12.75" customHeight="1">
      <c r="A931" s="100"/>
      <c r="B931" s="131"/>
      <c r="C931" s="93"/>
      <c r="D931" s="100"/>
      <c r="E931" s="129"/>
      <c r="F931" s="124"/>
      <c r="G931" s="100"/>
    </row>
    <row r="932" ht="12.75" customHeight="1">
      <c r="A932" s="100"/>
      <c r="B932" s="131"/>
      <c r="C932" s="93"/>
      <c r="D932" s="100"/>
      <c r="E932" s="129"/>
      <c r="F932" s="124"/>
      <c r="G932" s="100"/>
    </row>
    <row r="933" ht="12.75" customHeight="1">
      <c r="A933" s="100"/>
      <c r="B933" s="131"/>
      <c r="C933" s="93"/>
      <c r="D933" s="100"/>
      <c r="E933" s="129"/>
      <c r="F933" s="124"/>
      <c r="G933" s="100"/>
    </row>
    <row r="934" ht="12.75" customHeight="1">
      <c r="A934" s="100"/>
      <c r="B934" s="131"/>
      <c r="C934" s="93"/>
      <c r="D934" s="100"/>
      <c r="E934" s="129"/>
      <c r="F934" s="124"/>
      <c r="G934" s="100"/>
    </row>
    <row r="935" ht="12.75" customHeight="1">
      <c r="A935" s="100"/>
      <c r="B935" s="131"/>
      <c r="C935" s="93"/>
      <c r="D935" s="100"/>
      <c r="E935" s="129"/>
      <c r="F935" s="124"/>
      <c r="G935" s="100"/>
    </row>
    <row r="936" ht="12.75" customHeight="1">
      <c r="A936" s="100"/>
      <c r="B936" s="131"/>
      <c r="C936" s="93"/>
      <c r="D936" s="100"/>
      <c r="E936" s="129"/>
      <c r="F936" s="124"/>
      <c r="G936" s="100"/>
    </row>
    <row r="937" ht="12.75" customHeight="1">
      <c r="A937" s="100"/>
      <c r="B937" s="131"/>
      <c r="C937" s="93"/>
      <c r="D937" s="100"/>
      <c r="E937" s="129"/>
      <c r="F937" s="124"/>
      <c r="G937" s="100"/>
    </row>
    <row r="938" ht="12.75" customHeight="1">
      <c r="A938" s="100"/>
      <c r="B938" s="131"/>
      <c r="C938" s="93"/>
      <c r="D938" s="100"/>
      <c r="E938" s="129"/>
      <c r="F938" s="124"/>
      <c r="G938" s="100"/>
    </row>
    <row r="939" ht="12.75" customHeight="1">
      <c r="A939" s="100"/>
      <c r="B939" s="131"/>
      <c r="C939" s="93"/>
      <c r="D939" s="100"/>
      <c r="E939" s="129"/>
      <c r="F939" s="124"/>
      <c r="G939" s="100"/>
    </row>
    <row r="940" ht="12.75" customHeight="1">
      <c r="A940" s="100"/>
      <c r="B940" s="131"/>
      <c r="C940" s="93"/>
      <c r="D940" s="100"/>
      <c r="E940" s="129"/>
      <c r="F940" s="124"/>
      <c r="G940" s="100"/>
    </row>
    <row r="941" ht="12.75" customHeight="1">
      <c r="A941" s="100"/>
      <c r="B941" s="131"/>
      <c r="C941" s="93"/>
      <c r="D941" s="100"/>
      <c r="E941" s="129"/>
      <c r="F941" s="124"/>
      <c r="G941" s="100"/>
    </row>
    <row r="942" ht="12.75" customHeight="1">
      <c r="A942" s="100"/>
      <c r="B942" s="131"/>
      <c r="C942" s="93"/>
      <c r="D942" s="100"/>
      <c r="E942" s="129"/>
      <c r="F942" s="124"/>
      <c r="G942" s="100"/>
    </row>
    <row r="943" ht="12.75" customHeight="1">
      <c r="A943" s="100"/>
      <c r="B943" s="131"/>
      <c r="C943" s="93"/>
      <c r="D943" s="100"/>
      <c r="E943" s="129"/>
      <c r="F943" s="124"/>
      <c r="G943" s="100"/>
    </row>
    <row r="944" ht="12.75" customHeight="1">
      <c r="A944" s="100"/>
      <c r="B944" s="131"/>
      <c r="C944" s="93"/>
      <c r="D944" s="100"/>
      <c r="E944" s="129"/>
      <c r="F944" s="124"/>
      <c r="G944" s="100"/>
    </row>
    <row r="945" ht="12.75" customHeight="1">
      <c r="A945" s="100"/>
      <c r="B945" s="131"/>
      <c r="C945" s="93"/>
      <c r="D945" s="100"/>
      <c r="E945" s="129"/>
      <c r="F945" s="124"/>
      <c r="G945" s="100"/>
    </row>
    <row r="946" ht="12.75" customHeight="1">
      <c r="A946" s="100"/>
      <c r="B946" s="131"/>
      <c r="C946" s="93"/>
      <c r="D946" s="100"/>
      <c r="E946" s="129"/>
      <c r="F946" s="124"/>
      <c r="G946" s="100"/>
    </row>
    <row r="947" ht="12.75" customHeight="1">
      <c r="A947" s="100"/>
      <c r="B947" s="131"/>
      <c r="C947" s="93"/>
      <c r="D947" s="100"/>
      <c r="E947" s="129"/>
      <c r="F947" s="124"/>
      <c r="G947" s="100"/>
    </row>
    <row r="948" ht="12.75" customHeight="1">
      <c r="A948" s="100"/>
      <c r="B948" s="131"/>
      <c r="C948" s="93"/>
      <c r="D948" s="100"/>
      <c r="E948" s="129"/>
      <c r="F948" s="124"/>
      <c r="G948" s="100"/>
    </row>
    <row r="949" ht="12.75" customHeight="1">
      <c r="A949" s="100"/>
      <c r="B949" s="131"/>
      <c r="C949" s="93"/>
      <c r="D949" s="100"/>
      <c r="E949" s="129"/>
      <c r="F949" s="124"/>
      <c r="G949" s="100"/>
    </row>
    <row r="950" ht="12.75" customHeight="1">
      <c r="A950" s="100"/>
      <c r="B950" s="131"/>
      <c r="C950" s="93"/>
      <c r="D950" s="100"/>
      <c r="E950" s="129"/>
      <c r="F950" s="124"/>
      <c r="G950" s="100"/>
    </row>
    <row r="951" ht="12.75" customHeight="1">
      <c r="A951" s="100"/>
      <c r="B951" s="131"/>
      <c r="C951" s="93"/>
      <c r="D951" s="100"/>
      <c r="E951" s="129"/>
      <c r="F951" s="124"/>
      <c r="G951" s="100"/>
    </row>
    <row r="952" ht="12.75" customHeight="1">
      <c r="A952" s="100"/>
      <c r="B952" s="131"/>
      <c r="C952" s="93"/>
      <c r="D952" s="100"/>
      <c r="E952" s="129"/>
      <c r="F952" s="124"/>
      <c r="G952" s="100"/>
    </row>
    <row r="953" ht="12.75" customHeight="1">
      <c r="A953" s="100"/>
      <c r="B953" s="131"/>
      <c r="C953" s="93"/>
      <c r="D953" s="100"/>
      <c r="E953" s="129"/>
      <c r="F953" s="124"/>
      <c r="G953" s="100"/>
    </row>
    <row r="954" ht="12.75" customHeight="1">
      <c r="A954" s="100"/>
      <c r="B954" s="131"/>
      <c r="C954" s="93"/>
      <c r="D954" s="100"/>
      <c r="E954" s="129"/>
      <c r="F954" s="124"/>
      <c r="G954" s="100"/>
    </row>
    <row r="955" ht="12.75" customHeight="1">
      <c r="A955" s="100"/>
      <c r="B955" s="131"/>
      <c r="C955" s="93"/>
      <c r="D955" s="100"/>
      <c r="E955" s="129"/>
      <c r="F955" s="124"/>
      <c r="G955" s="100"/>
    </row>
    <row r="956" ht="12.75" customHeight="1">
      <c r="A956" s="100"/>
      <c r="B956" s="131"/>
      <c r="C956" s="93"/>
      <c r="D956" s="100"/>
      <c r="E956" s="129"/>
      <c r="F956" s="124"/>
      <c r="G956" s="100"/>
    </row>
    <row r="957" ht="12.75" customHeight="1">
      <c r="A957" s="100"/>
      <c r="B957" s="131"/>
      <c r="C957" s="93"/>
      <c r="D957" s="100"/>
      <c r="E957" s="129"/>
      <c r="F957" s="124"/>
      <c r="G957" s="100"/>
    </row>
    <row r="958" ht="12.75" customHeight="1">
      <c r="A958" s="100"/>
      <c r="B958" s="131"/>
      <c r="C958" s="93"/>
      <c r="D958" s="100"/>
      <c r="E958" s="129"/>
      <c r="F958" s="124"/>
      <c r="G958" s="100"/>
    </row>
    <row r="959" ht="12.75" customHeight="1">
      <c r="A959" s="100"/>
      <c r="B959" s="131"/>
      <c r="C959" s="93"/>
      <c r="D959" s="100"/>
      <c r="E959" s="129"/>
      <c r="F959" s="124"/>
      <c r="G959" s="100"/>
    </row>
    <row r="960" ht="12.75" customHeight="1">
      <c r="A960" s="100"/>
      <c r="B960" s="131"/>
      <c r="C960" s="93"/>
      <c r="D960" s="100"/>
      <c r="E960" s="129"/>
      <c r="F960" s="124"/>
      <c r="G960" s="100"/>
    </row>
    <row r="961" ht="12.75" customHeight="1">
      <c r="A961" s="100"/>
      <c r="B961" s="131"/>
      <c r="C961" s="93"/>
      <c r="D961" s="100"/>
      <c r="E961" s="129"/>
      <c r="F961" s="124"/>
      <c r="G961" s="100"/>
    </row>
    <row r="962" ht="12.75" customHeight="1">
      <c r="A962" s="100"/>
      <c r="B962" s="131"/>
      <c r="C962" s="93"/>
      <c r="D962" s="100"/>
      <c r="E962" s="129"/>
      <c r="F962" s="124"/>
      <c r="G962" s="100"/>
    </row>
    <row r="963" ht="12.75" customHeight="1">
      <c r="A963" s="100"/>
      <c r="B963" s="131"/>
      <c r="C963" s="93"/>
      <c r="D963" s="100"/>
      <c r="E963" s="129"/>
      <c r="F963" s="124"/>
      <c r="G963" s="100"/>
    </row>
    <row r="964" ht="12.75" customHeight="1">
      <c r="A964" s="100"/>
      <c r="B964" s="131"/>
      <c r="C964" s="93"/>
      <c r="D964" s="100"/>
      <c r="E964" s="129"/>
      <c r="F964" s="124"/>
      <c r="G964" s="100"/>
    </row>
    <row r="965" ht="12.75" customHeight="1">
      <c r="A965" s="100"/>
      <c r="B965" s="131"/>
      <c r="C965" s="93"/>
      <c r="D965" s="100"/>
      <c r="E965" s="129"/>
      <c r="F965" s="124"/>
      <c r="G965" s="100"/>
    </row>
    <row r="966" ht="12.75" customHeight="1">
      <c r="A966" s="100"/>
      <c r="B966" s="131"/>
      <c r="C966" s="93"/>
      <c r="D966" s="100"/>
      <c r="E966" s="129"/>
      <c r="F966" s="124"/>
      <c r="G966" s="100"/>
    </row>
    <row r="967" ht="12.75" customHeight="1">
      <c r="A967" s="100"/>
      <c r="B967" s="131"/>
      <c r="C967" s="93"/>
      <c r="D967" s="100"/>
      <c r="E967" s="129"/>
      <c r="F967" s="124"/>
      <c r="G967" s="100"/>
    </row>
    <row r="968" ht="12.75" customHeight="1">
      <c r="A968" s="100"/>
      <c r="B968" s="131"/>
      <c r="C968" s="93"/>
      <c r="D968" s="100"/>
      <c r="E968" s="129"/>
      <c r="F968" s="124"/>
      <c r="G968" s="100"/>
    </row>
    <row r="969" ht="12.75" customHeight="1">
      <c r="A969" s="100"/>
      <c r="B969" s="131"/>
      <c r="C969" s="93"/>
      <c r="D969" s="100"/>
      <c r="E969" s="129"/>
      <c r="F969" s="124"/>
      <c r="G969" s="100"/>
    </row>
    <row r="970" ht="12.75" customHeight="1">
      <c r="A970" s="100"/>
      <c r="B970" s="131"/>
      <c r="C970" s="93"/>
      <c r="D970" s="100"/>
      <c r="E970" s="129"/>
      <c r="F970" s="124"/>
      <c r="G970" s="100"/>
    </row>
    <row r="971" ht="12.75" customHeight="1">
      <c r="A971" s="100"/>
      <c r="B971" s="131"/>
      <c r="C971" s="93"/>
      <c r="D971" s="100"/>
      <c r="E971" s="129"/>
      <c r="F971" s="124"/>
      <c r="G971" s="100"/>
    </row>
    <row r="972" ht="12.75" customHeight="1">
      <c r="A972" s="100"/>
      <c r="B972" s="131"/>
      <c r="C972" s="93"/>
      <c r="D972" s="100"/>
      <c r="E972" s="129"/>
      <c r="F972" s="124"/>
      <c r="G972" s="100"/>
    </row>
    <row r="973" ht="12.75" customHeight="1">
      <c r="A973" s="100"/>
      <c r="B973" s="131"/>
      <c r="C973" s="93"/>
      <c r="D973" s="100"/>
      <c r="E973" s="129"/>
      <c r="F973" s="124"/>
      <c r="G973" s="100"/>
    </row>
    <row r="974" ht="12.75" customHeight="1">
      <c r="A974" s="100"/>
      <c r="B974" s="131"/>
      <c r="C974" s="93"/>
      <c r="D974" s="100"/>
      <c r="E974" s="129"/>
      <c r="F974" s="124"/>
      <c r="G974" s="100"/>
    </row>
    <row r="975" ht="12.75" customHeight="1">
      <c r="A975" s="100"/>
      <c r="B975" s="131"/>
      <c r="C975" s="93"/>
      <c r="D975" s="100"/>
      <c r="E975" s="129"/>
      <c r="F975" s="124"/>
      <c r="G975" s="100"/>
    </row>
    <row r="976" ht="12.75" customHeight="1">
      <c r="A976" s="100"/>
      <c r="B976" s="131"/>
      <c r="C976" s="93"/>
      <c r="D976" s="100"/>
      <c r="E976" s="129"/>
      <c r="F976" s="124"/>
      <c r="G976" s="100"/>
    </row>
    <row r="977" ht="12.75" customHeight="1">
      <c r="A977" s="100"/>
      <c r="B977" s="131"/>
      <c r="C977" s="93"/>
      <c r="D977" s="100"/>
      <c r="E977" s="129"/>
      <c r="F977" s="124"/>
      <c r="G977" s="100"/>
    </row>
    <row r="978" ht="12.75" customHeight="1">
      <c r="A978" s="100"/>
      <c r="B978" s="131"/>
      <c r="C978" s="93"/>
      <c r="D978" s="100"/>
      <c r="E978" s="129"/>
      <c r="F978" s="124"/>
      <c r="G978" s="100"/>
    </row>
    <row r="979" ht="12.75" customHeight="1">
      <c r="A979" s="100"/>
      <c r="B979" s="131"/>
      <c r="C979" s="93"/>
      <c r="D979" s="100"/>
      <c r="E979" s="129"/>
      <c r="F979" s="124"/>
      <c r="G979" s="100"/>
    </row>
    <row r="980" ht="12.75" customHeight="1">
      <c r="A980" s="100"/>
      <c r="B980" s="131"/>
      <c r="C980" s="93"/>
      <c r="D980" s="100"/>
      <c r="E980" s="129"/>
      <c r="F980" s="124"/>
      <c r="G980" s="100"/>
    </row>
    <row r="981" ht="12.75" customHeight="1">
      <c r="A981" s="100"/>
      <c r="B981" s="131"/>
      <c r="C981" s="93"/>
      <c r="D981" s="100"/>
      <c r="E981" s="129"/>
      <c r="F981" s="124"/>
      <c r="G981" s="100"/>
    </row>
    <row r="982" ht="12.75" customHeight="1">
      <c r="A982" s="100"/>
      <c r="B982" s="131"/>
      <c r="C982" s="93"/>
      <c r="D982" s="100"/>
      <c r="E982" s="129"/>
      <c r="F982" s="124"/>
      <c r="G982" s="100"/>
    </row>
    <row r="983" ht="12.75" customHeight="1">
      <c r="A983" s="100"/>
      <c r="B983" s="131"/>
      <c r="C983" s="93"/>
      <c r="D983" s="100"/>
      <c r="E983" s="129"/>
      <c r="F983" s="124"/>
      <c r="G983" s="100"/>
    </row>
    <row r="984" ht="12.75" customHeight="1">
      <c r="A984" s="100"/>
      <c r="B984" s="131"/>
      <c r="C984" s="93"/>
      <c r="D984" s="100"/>
      <c r="E984" s="129"/>
      <c r="F984" s="124"/>
      <c r="G984" s="100"/>
    </row>
    <row r="985" ht="12.75" customHeight="1">
      <c r="A985" s="100"/>
      <c r="B985" s="131"/>
      <c r="C985" s="93"/>
      <c r="D985" s="100"/>
      <c r="E985" s="129"/>
      <c r="F985" s="124"/>
      <c r="G985" s="100"/>
    </row>
    <row r="986" ht="12.75" customHeight="1">
      <c r="A986" s="100"/>
      <c r="B986" s="131"/>
      <c r="C986" s="93"/>
      <c r="D986" s="100"/>
      <c r="E986" s="129"/>
      <c r="F986" s="124"/>
      <c r="G986" s="100"/>
    </row>
    <row r="987" ht="12.75" customHeight="1">
      <c r="A987" s="100"/>
      <c r="B987" s="131"/>
      <c r="C987" s="93"/>
      <c r="D987" s="100"/>
      <c r="E987" s="129"/>
      <c r="F987" s="124"/>
      <c r="G987" s="100"/>
    </row>
    <row r="988" ht="12.75" customHeight="1">
      <c r="A988" s="100"/>
      <c r="B988" s="131"/>
      <c r="C988" s="93"/>
      <c r="D988" s="100"/>
      <c r="E988" s="129"/>
      <c r="F988" s="124"/>
      <c r="G988" s="100"/>
    </row>
    <row r="989" ht="12.75" customHeight="1">
      <c r="A989" s="100"/>
      <c r="B989" s="131"/>
      <c r="C989" s="93"/>
      <c r="D989" s="100"/>
      <c r="E989" s="129"/>
      <c r="F989" s="124"/>
      <c r="G989" s="100"/>
    </row>
    <row r="990" ht="12.75" customHeight="1">
      <c r="A990" s="100"/>
      <c r="B990" s="131"/>
      <c r="C990" s="93"/>
      <c r="D990" s="100"/>
      <c r="E990" s="129"/>
      <c r="F990" s="124"/>
      <c r="G990" s="100"/>
    </row>
    <row r="991" ht="12.75" customHeight="1">
      <c r="A991" s="100"/>
      <c r="B991" s="131"/>
      <c r="C991" s="93"/>
      <c r="D991" s="100"/>
      <c r="E991" s="129"/>
      <c r="F991" s="124"/>
      <c r="G991" s="100"/>
    </row>
    <row r="992" ht="12.75" customHeight="1">
      <c r="A992" s="100"/>
      <c r="B992" s="131"/>
      <c r="C992" s="93"/>
      <c r="D992" s="100"/>
      <c r="E992" s="129"/>
      <c r="F992" s="124"/>
      <c r="G992" s="100"/>
    </row>
    <row r="993" ht="12.75" customHeight="1">
      <c r="A993" s="100"/>
      <c r="B993" s="131"/>
      <c r="C993" s="93"/>
      <c r="D993" s="100"/>
      <c r="E993" s="129"/>
      <c r="F993" s="124"/>
      <c r="G993" s="100"/>
    </row>
    <row r="994" ht="12.75" customHeight="1">
      <c r="A994" s="100"/>
      <c r="B994" s="131"/>
      <c r="C994" s="93"/>
      <c r="D994" s="100"/>
      <c r="E994" s="129"/>
      <c r="F994" s="124"/>
      <c r="G994" s="100"/>
    </row>
    <row r="995" ht="12.75" customHeight="1">
      <c r="A995" s="100"/>
      <c r="B995" s="131"/>
      <c r="C995" s="93"/>
      <c r="D995" s="100"/>
      <c r="E995" s="129"/>
      <c r="G995" s="100"/>
    </row>
    <row r="996" ht="12.75" customHeight="1">
      <c r="A996" s="100"/>
      <c r="B996" s="131"/>
      <c r="C996" s="93"/>
      <c r="D996" s="100"/>
      <c r="E996" s="129"/>
      <c r="G996" s="100"/>
    </row>
    <row r="997" ht="12.75" customHeight="1">
      <c r="A997" s="100"/>
      <c r="B997" s="131"/>
      <c r="C997" s="93"/>
      <c r="D997" s="100"/>
      <c r="E997" s="129"/>
      <c r="G997" s="100"/>
    </row>
    <row r="998" ht="12.75" customHeight="1">
      <c r="A998" s="100"/>
      <c r="B998" s="131"/>
      <c r="C998" s="93"/>
      <c r="D998" s="100"/>
      <c r="E998" s="129"/>
      <c r="F998" s="100"/>
      <c r="G998" s="100"/>
    </row>
    <row r="999" ht="12.75" customHeight="1">
      <c r="A999" s="100"/>
      <c r="B999" s="131"/>
      <c r="C999" s="93"/>
      <c r="D999" s="100"/>
      <c r="E999" s="129"/>
      <c r="F999" s="100"/>
      <c r="G999" s="100"/>
    </row>
    <row r="1000" ht="12.75" customHeight="1">
      <c r="A1000" s="100"/>
      <c r="B1000" s="131"/>
      <c r="C1000" s="93"/>
      <c r="D1000" s="100"/>
      <c r="E1000" s="129"/>
      <c r="F1000" s="100"/>
      <c r="G1000" s="100"/>
    </row>
  </sheetData>
  <autoFilter ref="$A$2:$G$999"/>
  <mergeCells count="5">
    <mergeCell ref="A1:G1"/>
    <mergeCell ref="I2:J2"/>
    <mergeCell ref="I11:J11"/>
    <mergeCell ref="I12:J12"/>
    <mergeCell ref="I13:J13"/>
  </mergeCells>
  <conditionalFormatting sqref="I9">
    <cfRule type="containsText" dxfId="9" priority="1" operator="containsText" text="Completed">
      <formula>NOT(ISERROR(SEARCH(("Completed"),(I9))))</formula>
    </cfRule>
  </conditionalFormatting>
  <conditionalFormatting sqref="I9">
    <cfRule type="containsText" dxfId="10" priority="2" operator="containsText" text="Pending">
      <formula>NOT(ISERROR(SEARCH(("Pending"),(I9))))</formula>
    </cfRule>
  </conditionalFormatting>
  <conditionalFormatting sqref="J3:J9">
    <cfRule type="containsText" dxfId="0" priority="3" operator="containsText" text="Done">
      <formula>NOT(ISERROR(SEARCH(("Done"),(J3))))</formula>
    </cfRule>
  </conditionalFormatting>
  <conditionalFormatting sqref="J3:J9">
    <cfRule type="containsText" dxfId="1" priority="4" operator="containsText" text="In Progress">
      <formula>NOT(ISERROR(SEARCH(("In Progress"),(J3))))</formula>
    </cfRule>
  </conditionalFormatting>
  <conditionalFormatting sqref="J3:J9">
    <cfRule type="containsText" dxfId="11" priority="5" operator="containsText" text="Not Started">
      <formula>NOT(ISERROR(SEARCH(("Not Started"),(J3))))</formula>
    </cfRule>
  </conditionalFormatting>
  <conditionalFormatting sqref="J3:J9">
    <cfRule type="containsText" dxfId="3" priority="6" operator="containsText" text="NA">
      <formula>NOT(ISERROR(SEARCH(("NA"),(J3))))</formula>
    </cfRule>
  </conditionalFormatting>
  <conditionalFormatting sqref="J7">
    <cfRule type="containsText" dxfId="12" priority="7" operator="containsText" text="Issue Triggered">
      <formula>NOT(ISERROR(SEARCH(("Issue Triggered"),(J7))))</formula>
    </cfRule>
  </conditionalFormatting>
  <conditionalFormatting sqref="J3:J9">
    <cfRule type="containsText" dxfId="13" priority="8" operator="containsText" text="PASS">
      <formula>NOT(ISERROR(SEARCH(("PASS"),(J3))))</formula>
    </cfRule>
  </conditionalFormatting>
  <conditionalFormatting sqref="J3:J9">
    <cfRule type="containsText" dxfId="15" priority="9" operator="containsText" text="PROBLEM">
      <formula>NOT(ISERROR(SEARCH(("PROBLEM"),(J3))))</formula>
    </cfRule>
  </conditionalFormatting>
  <conditionalFormatting sqref="J3:J9">
    <cfRule type="containsText" dxfId="16" priority="10" operator="containsText" text="NOT CHECKED">
      <formula>NOT(ISERROR(SEARCH(("NOT CHECKED"),(J3))))</formula>
    </cfRule>
  </conditionalFormatting>
  <conditionalFormatting sqref="J3:J9">
    <cfRule type="containsText" dxfId="17" priority="11" operator="containsText" text="NOT USED">
      <formula>NOT(ISERROR(SEARCH(("NOT USED"),(J3))))</formula>
    </cfRule>
  </conditionalFormatting>
  <conditionalFormatting sqref="J3:J9">
    <cfRule type="containsText" dxfId="18" priority="12" operator="containsText" text="N/A">
      <formula>NOT(ISERROR(SEARCH(("N/A"),(J3))))</formula>
    </cfRule>
  </conditionalFormatting>
  <conditionalFormatting sqref="J3:J6">
    <cfRule type="containsText" dxfId="21" priority="13" operator="containsText" text="Accepted">
      <formula>NOT(ISERROR(SEARCH(("Accepted"),(J3))))</formula>
    </cfRule>
  </conditionalFormatting>
  <conditionalFormatting sqref="J3:J6">
    <cfRule type="containsText" dxfId="22" priority="14" operator="containsText" text="Not Started">
      <formula>NOT(ISERROR(SEARCH(("Not Started"),(J3))))</formula>
    </cfRule>
  </conditionalFormatting>
  <conditionalFormatting sqref="F3:F401">
    <cfRule type="containsText" dxfId="23" priority="15" operator="containsText" text="To be change">
      <formula>NOT(ISERROR(SEARCH(("To be change"),(F3))))</formula>
    </cfRule>
  </conditionalFormatting>
  <conditionalFormatting sqref="F2:F401 G2 F998:F999">
    <cfRule type="containsText" dxfId="13" priority="16" operator="containsText" text="Okay">
      <formula>NOT(ISERROR(SEARCH(("Okay"),(F2))))</formula>
    </cfRule>
  </conditionalFormatting>
  <conditionalFormatting sqref="J3:J6 F4:F1000">
    <cfRule type="containsText" dxfId="13" priority="17" operator="containsText" text="OKAY">
      <formula>NOT(ISERROR(SEARCH(("OKAY"),(J3))))</formula>
    </cfRule>
  </conditionalFormatting>
  <conditionalFormatting sqref="J3:J9 F4:F1000">
    <cfRule type="containsText" dxfId="14" priority="18" operator="containsText" text="CHECK">
      <formula>NOT(ISERROR(SEARCH(("CHECK"),(J3))))</formula>
    </cfRule>
  </conditionalFormatting>
  <conditionalFormatting sqref="J3:J6 F4:F1000">
    <cfRule type="containsText" dxfId="15" priority="19" operator="containsText" text="CHANGE">
      <formula>NOT(ISERROR(SEARCH(("CHANGE"),(J3))))</formula>
    </cfRule>
  </conditionalFormatting>
  <conditionalFormatting sqref="F3">
    <cfRule type="containsText" dxfId="13" priority="20" operator="containsText" text="OKAY">
      <formula>NOT(ISERROR(SEARCH(("OKAY"),(F3))))</formula>
    </cfRule>
  </conditionalFormatting>
  <conditionalFormatting sqref="F3">
    <cfRule type="containsText" dxfId="14" priority="21" operator="containsText" text="CHECK">
      <formula>NOT(ISERROR(SEARCH(("CHECK"),(F3))))</formula>
    </cfRule>
  </conditionalFormatting>
  <conditionalFormatting sqref="F3">
    <cfRule type="containsText" dxfId="15" priority="22" operator="containsText" text="CHANGE">
      <formula>NOT(ISERROR(SEARCH(("CHANGE"),(F3))))</formula>
    </cfRule>
  </conditionalFormatting>
  <dataValidations>
    <dataValidation type="list" allowBlank="1" showInputMessage="1" showErrorMessage="1" prompt="Select Status" sqref="F3:F401">
      <formula1>"Okay,To be Change"</formula1>
    </dataValidation>
    <dataValidation type="list" allowBlank="1" showInputMessage="1" showErrorMessage="1" prompt="Select values from dropdown list" sqref="F998:F1000">
      <formula1>"OKAY,CHANGE,CHECK"</formula1>
    </dataValidation>
  </dataValidations>
  <hyperlinks>
    <hyperlink display="Previous" location="'Annexure-III'!A1" ref="I11"/>
    <hyperlink display="Home" location="Overview!A1" ref="I12"/>
    <hyperlink display="BACK" location="'USB,SPI and I2C'!A1" ref="I13"/>
  </hyperlinks>
  <printOptions/>
  <pageMargins bottom="0.75" footer="0.0" header="0.0" left="0.7" right="0.7" top="0.75"/>
  <pageSetup orientation="landscape"/>
  <drawing r:id="rId1"/>
</worksheet>
</file>